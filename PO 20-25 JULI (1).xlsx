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PENYIMPANAN UTAMA\UNDUHAN\"/>
    </mc:Choice>
  </mc:AlternateContent>
  <xr:revisionPtr revIDLastSave="0" documentId="13_ncr:1_{44C73029-18FF-419A-8677-74ED00DFC700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SIKLUS MENU" sheetId="1" r:id="rId1"/>
    <sheet name="NILAI GIZI" sheetId="2" r:id="rId2"/>
    <sheet name="SENIN" sheetId="3" r:id="rId3"/>
    <sheet name="SELASA" sheetId="4" r:id="rId4"/>
    <sheet name="RABU" sheetId="5" r:id="rId5"/>
    <sheet name="KAMIS" sheetId="6" r:id="rId6"/>
    <sheet name="JUMAT" sheetId="7" r:id="rId7"/>
    <sheet name="SABTU" sheetId="8" r:id="rId8"/>
    <sheet name="BUDGETING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wvRL/CqWo6EGeqbPMIxVa+9JdUSAkjonRuRCzEMCz6c="/>
    </ext>
  </extLst>
</workbook>
</file>

<file path=xl/calcChain.xml><?xml version="1.0" encoding="utf-8"?>
<calcChain xmlns="http://schemas.openxmlformats.org/spreadsheetml/2006/main">
  <c r="G19" i="8" l="1"/>
  <c r="G18" i="8"/>
  <c r="G17" i="8"/>
  <c r="F10" i="8"/>
  <c r="D10" i="8"/>
  <c r="F9" i="8"/>
  <c r="F8" i="8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E10" i="7"/>
  <c r="C10" i="7"/>
  <c r="E9" i="7"/>
  <c r="E8" i="7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E10" i="6"/>
  <c r="C10" i="6"/>
  <c r="E9" i="6"/>
  <c r="E8" i="6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47" i="5" s="1"/>
  <c r="C5" i="9" s="1"/>
  <c r="E10" i="5"/>
  <c r="C10" i="5"/>
  <c r="E9" i="5"/>
  <c r="E8" i="5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43" i="4" s="1"/>
  <c r="C4" i="9" s="1"/>
  <c r="E10" i="4"/>
  <c r="C10" i="4"/>
  <c r="E9" i="4"/>
  <c r="E8" i="4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C10" i="3"/>
  <c r="E9" i="3"/>
  <c r="E8" i="3"/>
  <c r="C4" i="3"/>
  <c r="B7" i="3" s="1"/>
  <c r="Z48" i="2"/>
  <c r="Y48" i="2"/>
  <c r="X48" i="2"/>
  <c r="W48" i="2"/>
  <c r="V48" i="2"/>
  <c r="R48" i="2"/>
  <c r="Q48" i="2"/>
  <c r="P48" i="2"/>
  <c r="O48" i="2"/>
  <c r="N48" i="2"/>
  <c r="J48" i="2"/>
  <c r="I48" i="2"/>
  <c r="H48" i="2"/>
  <c r="G48" i="2"/>
  <c r="F48" i="2"/>
  <c r="Z41" i="2"/>
  <c r="Y41" i="2"/>
  <c r="X41" i="2"/>
  <c r="W41" i="2"/>
  <c r="V41" i="2"/>
  <c r="R41" i="2"/>
  <c r="Q41" i="2"/>
  <c r="P41" i="2"/>
  <c r="O41" i="2"/>
  <c r="N41" i="2"/>
  <c r="J41" i="2"/>
  <c r="I41" i="2"/>
  <c r="H41" i="2"/>
  <c r="G41" i="2"/>
  <c r="F41" i="2"/>
  <c r="Z32" i="2"/>
  <c r="Y32" i="2"/>
  <c r="X32" i="2"/>
  <c r="W32" i="2"/>
  <c r="V32" i="2"/>
  <c r="R32" i="2"/>
  <c r="Q32" i="2"/>
  <c r="P32" i="2"/>
  <c r="O32" i="2"/>
  <c r="N32" i="2"/>
  <c r="J32" i="2"/>
  <c r="I32" i="2"/>
  <c r="H32" i="2"/>
  <c r="G32" i="2"/>
  <c r="F32" i="2"/>
  <c r="Z24" i="2"/>
  <c r="Y24" i="2"/>
  <c r="X24" i="2"/>
  <c r="W24" i="2"/>
  <c r="V24" i="2"/>
  <c r="R24" i="2"/>
  <c r="Q24" i="2"/>
  <c r="P24" i="2"/>
  <c r="O24" i="2"/>
  <c r="N24" i="2"/>
  <c r="J24" i="2"/>
  <c r="I24" i="2"/>
  <c r="H24" i="2"/>
  <c r="G24" i="2"/>
  <c r="F24" i="2"/>
  <c r="Z15" i="2"/>
  <c r="Y15" i="2"/>
  <c r="X15" i="2"/>
  <c r="W15" i="2"/>
  <c r="V15" i="2"/>
  <c r="R15" i="2"/>
  <c r="Q15" i="2"/>
  <c r="P15" i="2"/>
  <c r="O15" i="2"/>
  <c r="N15" i="2"/>
  <c r="J15" i="2"/>
  <c r="I15" i="2"/>
  <c r="H15" i="2"/>
  <c r="G15" i="2"/>
  <c r="F15" i="2"/>
  <c r="Z7" i="2"/>
  <c r="Y7" i="2"/>
  <c r="X7" i="2"/>
  <c r="W7" i="2"/>
  <c r="V7" i="2"/>
  <c r="R7" i="2"/>
  <c r="Q7" i="2"/>
  <c r="P7" i="2"/>
  <c r="O7" i="2"/>
  <c r="N7" i="2"/>
  <c r="J7" i="2"/>
  <c r="I7" i="2"/>
  <c r="H7" i="2"/>
  <c r="G7" i="2"/>
  <c r="F7" i="2"/>
  <c r="C3" i="1"/>
  <c r="C4" i="4" l="1"/>
  <c r="D3" i="1"/>
  <c r="F40" i="6"/>
  <c r="C6" i="9" s="1"/>
  <c r="G33" i="8"/>
  <c r="C8" i="9" s="1"/>
  <c r="B5" i="3"/>
  <c r="F45" i="3"/>
  <c r="C3" i="9" s="1"/>
  <c r="C9" i="9" s="1"/>
  <c r="F41" i="7"/>
  <c r="C7" i="9" s="1"/>
  <c r="E10" i="3"/>
  <c r="C10" i="9" s="1"/>
  <c r="C11" i="9" s="1"/>
  <c r="E3" i="1" l="1"/>
  <c r="C4" i="5"/>
  <c r="B5" i="4"/>
  <c r="B7" i="4"/>
  <c r="B5" i="5" l="1"/>
  <c r="B7" i="5"/>
  <c r="C4" i="6"/>
  <c r="F3" i="1"/>
  <c r="C4" i="7" l="1"/>
  <c r="G3" i="1"/>
  <c r="D4" i="8" s="1"/>
  <c r="B5" i="6"/>
  <c r="B7" i="6"/>
  <c r="C5" i="8" l="1"/>
  <c r="C7" i="8"/>
  <c r="B7" i="7"/>
  <c r="B5" i="7"/>
</calcChain>
</file>

<file path=xl/sharedStrings.xml><?xml version="1.0" encoding="utf-8"?>
<sst xmlns="http://schemas.openxmlformats.org/spreadsheetml/2006/main" count="522" uniqueCount="156">
  <si>
    <t>SIKLUS MENU MBG SPPG NGAWEN</t>
  </si>
  <si>
    <t>NASI PUTIH</t>
  </si>
  <si>
    <t>KENTANG</t>
  </si>
  <si>
    <t>BUBUR KACANG HIJAU</t>
  </si>
  <si>
    <t>SUSU UHT 125 ML (INDOMILK)</t>
  </si>
  <si>
    <t>TELUR PUYUH KECAP</t>
  </si>
  <si>
    <t>CHIKEN DRUM STIK</t>
  </si>
  <si>
    <t>LELE BAKAR</t>
  </si>
  <si>
    <t>SIOMAY</t>
  </si>
  <si>
    <t>ROTI TAWAR</t>
  </si>
  <si>
    <t>SUSU UHT 200 ML (INDOMILK)</t>
  </si>
  <si>
    <t>EDAMAME</t>
  </si>
  <si>
    <t>TAHU SAUS TIRAM</t>
  </si>
  <si>
    <t>TEMPE GORENG</t>
  </si>
  <si>
    <t>KUBIS GULUNG REBUS</t>
  </si>
  <si>
    <t>SUSU</t>
  </si>
  <si>
    <t>JERUK MANDARIN</t>
  </si>
  <si>
    <t>TUMIS ( WORTEL,JAGUNG BABY,JAMUR )</t>
  </si>
  <si>
    <t>REBUSAN ( WORTEL &amp; BUNCIS )</t>
  </si>
  <si>
    <t>TUMIS SAWI &amp; WORTEL</t>
  </si>
  <si>
    <t>SAUS KACANG</t>
  </si>
  <si>
    <t>KEJU PARUT</t>
  </si>
  <si>
    <t>MELON</t>
  </si>
  <si>
    <t>SEMANGKA</t>
  </si>
  <si>
    <t>PEPAYA</t>
  </si>
  <si>
    <t>ANGGUR</t>
  </si>
  <si>
    <t>KELENGKENG</t>
  </si>
  <si>
    <t>Menu 1</t>
  </si>
  <si>
    <t>Bahan Baku</t>
  </si>
  <si>
    <t>Berat Kotor PAUD/TK/ SD 1-3</t>
  </si>
  <si>
    <t>Berat Bersih PAUD/TK/ SD 1-3</t>
  </si>
  <si>
    <t>Berat Matang PAUD/TK/ SD 1-3</t>
  </si>
  <si>
    <t>E</t>
  </si>
  <si>
    <t>P</t>
  </si>
  <si>
    <t>L</t>
  </si>
  <si>
    <t>KH</t>
  </si>
  <si>
    <t>S</t>
  </si>
  <si>
    <t>Berat Kotor SD 4-6</t>
  </si>
  <si>
    <t>Berat Bersih SD 4-6</t>
  </si>
  <si>
    <t>Berat Matang SD 4-6</t>
  </si>
  <si>
    <t>Berat Kotor SMP</t>
  </si>
  <si>
    <t>Berat Bersih SMP</t>
  </si>
  <si>
    <t>Berat Matang SMP</t>
  </si>
  <si>
    <t xml:space="preserve">TOTAL NILAI GIZI </t>
  </si>
  <si>
    <t>Menu 2</t>
  </si>
  <si>
    <t>Menu 3</t>
  </si>
  <si>
    <t>Menu 4</t>
  </si>
  <si>
    <t>Menu 5</t>
  </si>
  <si>
    <t>Menu 6</t>
  </si>
  <si>
    <t>Paket Menu</t>
  </si>
  <si>
    <t>HARI KEDATANGAN</t>
  </si>
  <si>
    <t>DEPARTMENT</t>
  </si>
  <si>
    <t>SPPG Ngawen</t>
  </si>
  <si>
    <t>DATE</t>
  </si>
  <si>
    <t>PENERIMA MANFAAT</t>
  </si>
  <si>
    <t>PAUD, TK, SD 1-3</t>
  </si>
  <si>
    <t>SD 4-6, Guru, Tendik, Sampel</t>
  </si>
  <si>
    <t>TOTAL</t>
  </si>
  <si>
    <t>MATERIAL REQUISITION FORM</t>
  </si>
  <si>
    <t>MENU BASAH</t>
  </si>
  <si>
    <t>NO</t>
  </si>
  <si>
    <t>ITEM</t>
  </si>
  <si>
    <t>QTY</t>
  </si>
  <si>
    <t>SATUAN</t>
  </si>
  <si>
    <t>HARGA SATUAN</t>
  </si>
  <si>
    <t>JUMLAH</t>
  </si>
  <si>
    <t>Beras</t>
  </si>
  <si>
    <t>kg</t>
  </si>
  <si>
    <t>Telur Puyuh mentah</t>
  </si>
  <si>
    <t>pcs</t>
  </si>
  <si>
    <t>Garam</t>
  </si>
  <si>
    <t>Royco</t>
  </si>
  <si>
    <t>Bawang Merah Kupas</t>
  </si>
  <si>
    <t>Bawang Putih Kupas</t>
  </si>
  <si>
    <t>Daun salam</t>
  </si>
  <si>
    <t>Lengkuas</t>
  </si>
  <si>
    <t>Gula Merah</t>
  </si>
  <si>
    <t>Marica Bubuk</t>
  </si>
  <si>
    <t>Ketumbar</t>
  </si>
  <si>
    <t>Kemiri</t>
  </si>
  <si>
    <t>Edamame</t>
  </si>
  <si>
    <t>Wortel</t>
  </si>
  <si>
    <t>Jagung Baby</t>
  </si>
  <si>
    <t>Jamur kuping kering</t>
  </si>
  <si>
    <t>Gula Pasir</t>
  </si>
  <si>
    <t>Minyak Goreng Rizky</t>
  </si>
  <si>
    <t>duz</t>
  </si>
  <si>
    <t>Melon HIJAU</t>
  </si>
  <si>
    <t>Selada</t>
  </si>
  <si>
    <t>Wijen</t>
  </si>
  <si>
    <t>Ayam potong ( isi 10 )</t>
  </si>
  <si>
    <t>Jagung</t>
  </si>
  <si>
    <t>Kecap Manis</t>
  </si>
  <si>
    <t>ESTIMASI TOTAL BAHAN BAKU</t>
  </si>
  <si>
    <t>Ayam Giling</t>
  </si>
  <si>
    <t>Kecap Asin</t>
  </si>
  <si>
    <t>btl</t>
  </si>
  <si>
    <t>Minyak Wijen</t>
  </si>
  <si>
    <t>Saus Tiram</t>
  </si>
  <si>
    <t>Jahe Bubuk</t>
  </si>
  <si>
    <t>renceng</t>
  </si>
  <si>
    <t>Merica Bubuk</t>
  </si>
  <si>
    <t>Tepung Tapioka</t>
  </si>
  <si>
    <t>Tepung Panir</t>
  </si>
  <si>
    <t>Telur</t>
  </si>
  <si>
    <t>Tahu Kulit</t>
  </si>
  <si>
    <t>Daun Bawang</t>
  </si>
  <si>
    <t>Tepung Maizena</t>
  </si>
  <si>
    <t>Buncis</t>
  </si>
  <si>
    <t>Semangka Merah</t>
  </si>
  <si>
    <t>Cabe Merah Keriting</t>
  </si>
  <si>
    <t>Saos Tomat</t>
  </si>
  <si>
    <t>Lele fillet</t>
  </si>
  <si>
    <t>Kunyit Bubuk</t>
  </si>
  <si>
    <t>renteng</t>
  </si>
  <si>
    <t>Bumbu Marinasi Tempe</t>
  </si>
  <si>
    <t>Mentega</t>
  </si>
  <si>
    <t>Sawi Putih</t>
  </si>
  <si>
    <t>Tempe</t>
  </si>
  <si>
    <t>papan</t>
  </si>
  <si>
    <t>Ketumbar Bubuk</t>
  </si>
  <si>
    <t>Jeruk Nipis</t>
  </si>
  <si>
    <t>Pepaya</t>
  </si>
  <si>
    <t>Lele Utuh</t>
  </si>
  <si>
    <t>Kentang Sedang</t>
  </si>
  <si>
    <t>Kecap Ikan</t>
  </si>
  <si>
    <t>Tepung Terigu</t>
  </si>
  <si>
    <t>Kubis</t>
  </si>
  <si>
    <t>Kacang Tanah</t>
  </si>
  <si>
    <t>Daun Jeruk</t>
  </si>
  <si>
    <t>Asam Jawa</t>
  </si>
  <si>
    <t>Tahu kulit</t>
  </si>
  <si>
    <t>Anggur merah</t>
  </si>
  <si>
    <t>Kacang Hijau</t>
  </si>
  <si>
    <t>Daun Pandan</t>
  </si>
  <si>
    <t>Jahe</t>
  </si>
  <si>
    <t>Susu 125 ml (ultra milk)</t>
  </si>
  <si>
    <t>Keju Wincheese</t>
  </si>
  <si>
    <t>Roti Tawar ( ISI 2)</t>
  </si>
  <si>
    <t>pck</t>
  </si>
  <si>
    <t>Kelengkeng</t>
  </si>
  <si>
    <t>Vanili (Merek kupu")</t>
  </si>
  <si>
    <t>KETERANGAN</t>
  </si>
  <si>
    <t>Susu uht 200 ml (ultra milk)</t>
  </si>
  <si>
    <t>Susu uht 125 ml (ultra milk)</t>
  </si>
  <si>
    <t>Jeruk Mandarin</t>
  </si>
  <si>
    <t>REKAP BUDGET</t>
  </si>
  <si>
    <t>Senin</t>
  </si>
  <si>
    <t>Selasa</t>
  </si>
  <si>
    <t xml:space="preserve">Rabu </t>
  </si>
  <si>
    <t>Kamis</t>
  </si>
  <si>
    <t>Jumat</t>
  </si>
  <si>
    <t>Sabtu</t>
  </si>
  <si>
    <t>Total</t>
  </si>
  <si>
    <t>Pagu Maksimal 1 Minggu</t>
  </si>
  <si>
    <t>DEFISIT/SURPLUS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</si>
</sst>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dddd\,\ dd\ mmmm\ yyyy"/>
    <numFmt numFmtId="165" formatCode="[$-421]dddd\,\ dd\ mmm\ yyyy"/>
    <numFmt numFmtId="166" formatCode="_(&quot;Rp&quot;* #,##0_);_(&quot;Rp&quot;* \(#,##0\);_(&quot;Rp&quot;* &quot;-&quot;_);_(@_)"/>
    <numFmt numFmtId="167" formatCode="_-[$Rp-3809]* #,##0.00_-;\-[$Rp-3809]* #,##0.00_-;_-[$Rp-3809]* &quot;-&quot;??_-;_-@"/>
    <numFmt numFmtId="168" formatCode="#,##0.00;\(#,##0.00\)"/>
    <numFmt numFmtId="169" formatCode="[$Rp]#,##0"/>
    <numFmt numFmtId="170" formatCode="_-&quot;Rp&quot;* #,##0.00_-;\-&quot;Rp&quot;* #,##0.00_-;_-&quot;Rp&quot;* &quot;-&quot;??_-;_-@"/>
    <numFmt numFmtId="171" formatCode="_-&quot;Rp&quot;* #,##0_-;\-&quot;Rp&quot;* #,##0_-;_-&quot;Rp&quot;* &quot;-&quot;_-;_-@"/>
    <numFmt numFmtId="172" formatCode="&quot;Rp&quot;#,##0"/>
    <numFmt numFmtId="173" formatCode="_-&quot;Rp&quot;* #,##0_-;\-&quot;Rp&quot;* #,##0_-;_-&quot;Rp&quot;* &quot;-&quot;??_-;_-@"/>
  </numFmts>
  <fonts count="22" x14ac:knownFonts="1">
    <font>
      <sz val="10"/>
      <color rgb="FF000000"/>
      <name val="Arial"/>
      <scheme val="minor"/>
    </font>
    <font>
      <b/>
      <sz val="9"/>
      <color theme="1"/>
      <name val="Arial"/>
    </font>
    <font>
      <sz val="10"/>
      <name val="Arial"/>
    </font>
    <font>
      <sz val="10"/>
      <color rgb="FF000000"/>
      <name val="Arial"/>
    </font>
    <font>
      <sz val="10"/>
      <color rgb="FF000000"/>
      <name val="Arial"/>
    </font>
    <font>
      <sz val="11"/>
      <color theme="1"/>
      <name val="Calibri"/>
    </font>
    <font>
      <b/>
      <sz val="11"/>
      <color theme="1"/>
      <name val="Times New Roman"/>
    </font>
    <font>
      <sz val="11"/>
      <color theme="1"/>
      <name val="Times New Roman"/>
    </font>
    <font>
      <b/>
      <sz val="11"/>
      <color rgb="FFFF0000"/>
      <name val="Arial"/>
    </font>
    <font>
      <b/>
      <sz val="11"/>
      <color rgb="FF000000"/>
      <name val="Calibri"/>
    </font>
    <font>
      <b/>
      <sz val="11"/>
      <color theme="1"/>
      <name val="Calibri"/>
    </font>
    <font>
      <sz val="10"/>
      <color theme="1"/>
      <name val="Arial"/>
    </font>
    <font>
      <b/>
      <sz val="14"/>
      <color theme="1"/>
      <name val="Calibri"/>
    </font>
    <font>
      <b/>
      <sz val="16"/>
      <color rgb="FF000000"/>
      <name val="Calibri"/>
    </font>
    <font>
      <b/>
      <sz val="11"/>
      <color theme="0"/>
      <name val="Calibri"/>
    </font>
    <font>
      <sz val="11"/>
      <color rgb="FF000000"/>
      <name val="Calibri"/>
    </font>
    <font>
      <sz val="12"/>
      <color rgb="FF000000"/>
      <name val="Calibri"/>
    </font>
    <font>
      <sz val="10"/>
      <color theme="1"/>
      <name val="Arial"/>
    </font>
    <font>
      <b/>
      <sz val="12"/>
      <color rgb="FF000000"/>
      <name val="Calibri"/>
    </font>
    <font>
      <sz val="10"/>
      <color rgb="FF000000"/>
      <name val="Calibri"/>
    </font>
    <font>
      <b/>
      <sz val="10"/>
      <color theme="1"/>
      <name val="Arial"/>
    </font>
    <font>
      <b/>
      <sz val="10"/>
      <color rgb="FF000000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D4A6BD"/>
        <bgColor rgb="FFD4A6BD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FAD9D6"/>
        <bgColor rgb="FFFAD9D6"/>
      </patternFill>
    </fill>
    <fill>
      <patternFill patternType="solid">
        <fgColor rgb="FFF6B3AE"/>
        <bgColor rgb="FFF6B3AE"/>
      </patternFill>
    </fill>
    <fill>
      <patternFill patternType="solid">
        <fgColor rgb="FFB3CEFA"/>
        <bgColor rgb="FFB3CEFA"/>
      </patternFill>
    </fill>
    <fill>
      <patternFill patternType="solid">
        <fgColor rgb="FFFFFF00"/>
        <bgColor rgb="FFFFFF00"/>
      </patternFill>
    </fill>
    <fill>
      <patternFill patternType="solid">
        <fgColor rgb="FF083C92"/>
        <bgColor rgb="FF083C92"/>
      </patternFill>
    </fill>
    <fill>
      <patternFill patternType="solid">
        <fgColor rgb="FF999999"/>
        <bgColor rgb="FF999999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B7B7B7"/>
        <bgColor rgb="FFB7B7B7"/>
      </patternFill>
    </fill>
  </fills>
  <borders count="3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1" fillId="0" borderId="0" xfId="0" applyFont="1" applyAlignment="1">
      <alignment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4" fillId="3" borderId="2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0" xfId="0" applyFont="1"/>
    <xf numFmtId="0" fontId="6" fillId="4" borderId="2" xfId="0" applyFont="1" applyFill="1" applyBorder="1" applyAlignment="1">
      <alignment horizontal="center" wrapText="1"/>
    </xf>
    <xf numFmtId="0" fontId="6" fillId="5" borderId="2" xfId="0" applyFont="1" applyFill="1" applyBorder="1" applyAlignment="1">
      <alignment horizontal="center" wrapText="1"/>
    </xf>
    <xf numFmtId="0" fontId="6" fillId="6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horizontal="center" wrapText="1"/>
    </xf>
    <xf numFmtId="0" fontId="6" fillId="8" borderId="2" xfId="0" applyFont="1" applyFill="1" applyBorder="1" applyAlignment="1">
      <alignment horizontal="center" wrapText="1"/>
    </xf>
    <xf numFmtId="0" fontId="6" fillId="9" borderId="2" xfId="0" applyFont="1" applyFill="1" applyBorder="1" applyAlignment="1">
      <alignment horizontal="center" wrapText="1"/>
    </xf>
    <xf numFmtId="0" fontId="6" fillId="10" borderId="2" xfId="0" applyFont="1" applyFill="1" applyBorder="1" applyAlignment="1">
      <alignment horizontal="center" wrapText="1"/>
    </xf>
    <xf numFmtId="0" fontId="6" fillId="11" borderId="2" xfId="0" applyFont="1" applyFill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7" fillId="0" borderId="2" xfId="0" applyFont="1" applyBorder="1"/>
    <xf numFmtId="0" fontId="7" fillId="0" borderId="2" xfId="0" applyFont="1" applyBorder="1" applyAlignment="1">
      <alignment horizontal="right"/>
    </xf>
    <xf numFmtId="0" fontId="7" fillId="0" borderId="5" xfId="0" applyFont="1" applyBorder="1"/>
    <xf numFmtId="0" fontId="7" fillId="0" borderId="6" xfId="0" applyFont="1" applyBorder="1"/>
    <xf numFmtId="0" fontId="5" fillId="0" borderId="2" xfId="0" applyFont="1" applyBorder="1" applyAlignment="1">
      <alignment horizontal="right"/>
    </xf>
    <xf numFmtId="0" fontId="7" fillId="0" borderId="7" xfId="0" applyFont="1" applyBorder="1"/>
    <xf numFmtId="0" fontId="5" fillId="0" borderId="1" xfId="0" applyFont="1" applyBorder="1"/>
    <xf numFmtId="0" fontId="5" fillId="0" borderId="3" xfId="0" applyFont="1" applyBorder="1"/>
    <xf numFmtId="0" fontId="7" fillId="0" borderId="3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5" fillId="0" borderId="8" xfId="0" applyFont="1" applyBorder="1"/>
    <xf numFmtId="0" fontId="7" fillId="0" borderId="9" xfId="0" applyFont="1" applyBorder="1" applyAlignment="1">
      <alignment horizontal="right"/>
    </xf>
    <xf numFmtId="0" fontId="7" fillId="0" borderId="6" xfId="0" applyFont="1" applyBorder="1" applyAlignment="1">
      <alignment horizontal="right"/>
    </xf>
    <xf numFmtId="0" fontId="5" fillId="0" borderId="2" xfId="0" applyFont="1" applyBorder="1"/>
    <xf numFmtId="0" fontId="7" fillId="0" borderId="10" xfId="0" applyFont="1" applyBorder="1"/>
    <xf numFmtId="0" fontId="7" fillId="0" borderId="11" xfId="0" applyFont="1" applyBorder="1"/>
    <xf numFmtId="166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/>
    <xf numFmtId="3" fontId="3" fillId="0" borderId="0" xfId="0" applyNumberFormat="1" applyFont="1"/>
    <xf numFmtId="0" fontId="9" fillId="0" borderId="7" xfId="0" applyFont="1" applyBorder="1" applyAlignment="1">
      <alignment horizontal="left"/>
    </xf>
    <xf numFmtId="165" fontId="9" fillId="0" borderId="1" xfId="0" applyNumberFormat="1" applyFont="1" applyBorder="1" applyAlignment="1">
      <alignment horizontal="left"/>
    </xf>
    <xf numFmtId="3" fontId="3" fillId="0" borderId="1" xfId="0" applyNumberFormat="1" applyFont="1" applyBorder="1"/>
    <xf numFmtId="0" fontId="3" fillId="0" borderId="1" xfId="0" applyFont="1" applyBorder="1"/>
    <xf numFmtId="166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3" xfId="0" applyFont="1" applyBorder="1"/>
    <xf numFmtId="0" fontId="10" fillId="0" borderId="6" xfId="0" applyFont="1" applyBorder="1"/>
    <xf numFmtId="3" fontId="9" fillId="0" borderId="2" xfId="0" applyNumberFormat="1" applyFont="1" applyBorder="1" applyAlignment="1">
      <alignment horizontal="right"/>
    </xf>
    <xf numFmtId="4" fontId="10" fillId="0" borderId="6" xfId="0" applyNumberFormat="1" applyFont="1" applyBorder="1" applyAlignment="1">
      <alignment horizontal="right"/>
    </xf>
    <xf numFmtId="166" fontId="10" fillId="0" borderId="6" xfId="0" applyNumberFormat="1" applyFont="1" applyBorder="1" applyAlignment="1">
      <alignment horizontal="right"/>
    </xf>
    <xf numFmtId="0" fontId="11" fillId="0" borderId="6" xfId="0" applyFont="1" applyBorder="1" applyAlignment="1">
      <alignment horizontal="right"/>
    </xf>
    <xf numFmtId="0" fontId="11" fillId="0" borderId="9" xfId="0" applyFont="1" applyBorder="1"/>
    <xf numFmtId="0" fontId="11" fillId="0" borderId="0" xfId="0" applyFont="1"/>
    <xf numFmtId="0" fontId="10" fillId="0" borderId="1" xfId="0" applyFont="1" applyBorder="1"/>
    <xf numFmtId="4" fontId="10" fillId="0" borderId="1" xfId="0" applyNumberFormat="1" applyFont="1" applyBorder="1" applyAlignment="1">
      <alignment horizontal="right"/>
    </xf>
    <xf numFmtId="0" fontId="11" fillId="0" borderId="1" xfId="0" applyFont="1" applyBorder="1" applyAlignment="1">
      <alignment horizontal="right"/>
    </xf>
    <xf numFmtId="0" fontId="11" fillId="0" borderId="3" xfId="0" applyFont="1" applyBorder="1"/>
    <xf numFmtId="0" fontId="11" fillId="0" borderId="7" xfId="0" applyFont="1" applyBorder="1" applyAlignment="1">
      <alignment horizontal="center"/>
    </xf>
    <xf numFmtId="0" fontId="10" fillId="13" borderId="16" xfId="0" applyFont="1" applyFill="1" applyBorder="1" applyAlignment="1">
      <alignment horizontal="center"/>
    </xf>
    <xf numFmtId="166" fontId="12" fillId="0" borderId="1" xfId="0" applyNumberFormat="1" applyFont="1" applyBorder="1" applyAlignment="1">
      <alignment horizontal="right"/>
    </xf>
    <xf numFmtId="0" fontId="9" fillId="0" borderId="2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15" borderId="2" xfId="0" applyFont="1" applyFill="1" applyBorder="1"/>
    <xf numFmtId="0" fontId="15" fillId="0" borderId="2" xfId="0" applyFont="1" applyBorder="1" applyAlignment="1">
      <alignment horizontal="center"/>
    </xf>
    <xf numFmtId="167" fontId="15" fillId="0" borderId="2" xfId="0" applyNumberFormat="1" applyFont="1" applyBorder="1" applyAlignment="1">
      <alignment horizontal="right"/>
    </xf>
    <xf numFmtId="167" fontId="5" fillId="0" borderId="2" xfId="0" applyNumberFormat="1" applyFont="1" applyBorder="1" applyAlignment="1">
      <alignment horizontal="center"/>
    </xf>
    <xf numFmtId="168" fontId="17" fillId="0" borderId="0" xfId="0" applyNumberFormat="1" applyFont="1"/>
    <xf numFmtId="167" fontId="17" fillId="0" borderId="0" xfId="0" applyNumberFormat="1" applyFont="1"/>
    <xf numFmtId="0" fontId="15" fillId="0" borderId="2" xfId="0" applyFont="1" applyBorder="1" applyAlignment="1"/>
    <xf numFmtId="0" fontId="15" fillId="0" borderId="2" xfId="0" applyFont="1" applyBorder="1" applyAlignment="1">
      <alignment horizontal="center" vertical="top"/>
    </xf>
    <xf numFmtId="167" fontId="15" fillId="0" borderId="2" xfId="0" applyNumberFormat="1" applyFont="1" applyBorder="1" applyAlignment="1">
      <alignment horizontal="right" vertical="top"/>
    </xf>
    <xf numFmtId="0" fontId="15" fillId="16" borderId="2" xfId="0" applyFont="1" applyFill="1" applyBorder="1"/>
    <xf numFmtId="0" fontId="15" fillId="0" borderId="29" xfId="0" applyFont="1" applyBorder="1" applyAlignment="1"/>
    <xf numFmtId="0" fontId="15" fillId="17" borderId="2" xfId="0" applyFont="1" applyFill="1" applyBorder="1"/>
    <xf numFmtId="0" fontId="4" fillId="18" borderId="2" xfId="0" applyFont="1" applyFill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19" borderId="2" xfId="0" applyFont="1" applyFill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/>
    </xf>
    <xf numFmtId="169" fontId="18" fillId="0" borderId="33" xfId="0" applyNumberFormat="1" applyFont="1" applyBorder="1" applyAlignment="1">
      <alignment horizontal="right"/>
    </xf>
    <xf numFmtId="3" fontId="9" fillId="0" borderId="6" xfId="0" applyNumberFormat="1" applyFont="1" applyBorder="1" applyAlignment="1">
      <alignment horizontal="right"/>
    </xf>
    <xf numFmtId="3" fontId="9" fillId="0" borderId="1" xfId="0" applyNumberFormat="1" applyFont="1" applyBorder="1" applyAlignment="1">
      <alignment horizontal="right"/>
    </xf>
    <xf numFmtId="0" fontId="3" fillId="0" borderId="20" xfId="0" applyFont="1" applyBorder="1"/>
    <xf numFmtId="0" fontId="16" fillId="20" borderId="2" xfId="0" applyFont="1" applyFill="1" applyBorder="1"/>
    <xf numFmtId="169" fontId="3" fillId="0" borderId="0" xfId="0" applyNumberFormat="1" applyFont="1"/>
    <xf numFmtId="169" fontId="17" fillId="0" borderId="0" xfId="0" applyNumberFormat="1" applyFont="1"/>
    <xf numFmtId="0" fontId="16" fillId="0" borderId="2" xfId="0" applyFont="1" applyBorder="1" applyAlignment="1"/>
    <xf numFmtId="167" fontId="15" fillId="0" borderId="20" xfId="0" applyNumberFormat="1" applyFont="1" applyBorder="1" applyAlignment="1">
      <alignment horizontal="right"/>
    </xf>
    <xf numFmtId="0" fontId="15" fillId="0" borderId="20" xfId="0" applyFont="1" applyBorder="1" applyAlignment="1">
      <alignment horizontal="center"/>
    </xf>
    <xf numFmtId="167" fontId="15" fillId="0" borderId="18" xfId="0" applyNumberFormat="1" applyFont="1" applyBorder="1" applyAlignment="1">
      <alignment horizontal="right"/>
    </xf>
    <xf numFmtId="0" fontId="15" fillId="0" borderId="18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167" fontId="19" fillId="0" borderId="20" xfId="0" applyNumberFormat="1" applyFont="1" applyBorder="1" applyAlignment="1">
      <alignment horizontal="right"/>
    </xf>
    <xf numFmtId="167" fontId="19" fillId="0" borderId="18" xfId="0" applyNumberFormat="1" applyFont="1" applyBorder="1" applyAlignment="1">
      <alignment horizontal="right"/>
    </xf>
    <xf numFmtId="167" fontId="19" fillId="0" borderId="2" xfId="0" applyNumberFormat="1" applyFont="1" applyBorder="1" applyAlignment="1">
      <alignment horizontal="right"/>
    </xf>
    <xf numFmtId="0" fontId="15" fillId="0" borderId="10" xfId="0" applyFont="1" applyBorder="1" applyAlignment="1"/>
    <xf numFmtId="0" fontId="15" fillId="0" borderId="3" xfId="0" applyFont="1" applyBorder="1" applyAlignment="1">
      <alignment horizontal="center"/>
    </xf>
    <xf numFmtId="167" fontId="15" fillId="0" borderId="3" xfId="0" applyNumberFormat="1" applyFont="1" applyBorder="1" applyAlignment="1">
      <alignment horizontal="right"/>
    </xf>
    <xf numFmtId="169" fontId="18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center"/>
    </xf>
    <xf numFmtId="167" fontId="5" fillId="0" borderId="2" xfId="0" applyNumberFormat="1" applyFont="1" applyBorder="1" applyAlignment="1">
      <alignment horizontal="center" wrapText="1"/>
    </xf>
    <xf numFmtId="0" fontId="15" fillId="0" borderId="2" xfId="0" applyFont="1" applyBorder="1" applyAlignment="1">
      <alignment vertical="top"/>
    </xf>
    <xf numFmtId="1" fontId="15" fillId="0" borderId="2" xfId="0" applyNumberFormat="1" applyFont="1" applyBorder="1" applyAlignment="1">
      <alignment horizontal="center"/>
    </xf>
    <xf numFmtId="167" fontId="15" fillId="0" borderId="2" xfId="0" applyNumberFormat="1" applyFont="1" applyBorder="1" applyAlignment="1">
      <alignment horizontal="left"/>
    </xf>
    <xf numFmtId="0" fontId="16" fillId="0" borderId="2" xfId="0" applyFont="1" applyBorder="1"/>
    <xf numFmtId="0" fontId="15" fillId="0" borderId="2" xfId="0" applyFont="1" applyBorder="1"/>
    <xf numFmtId="167" fontId="4" fillId="0" borderId="2" xfId="0" applyNumberFormat="1" applyFont="1" applyBorder="1" applyAlignment="1">
      <alignment horizontal="right"/>
    </xf>
    <xf numFmtId="170" fontId="4" fillId="0" borderId="2" xfId="0" applyNumberFormat="1" applyFont="1" applyBorder="1" applyAlignment="1">
      <alignment horizontal="right"/>
    </xf>
    <xf numFmtId="0" fontId="15" fillId="0" borderId="4" xfId="0" applyFont="1" applyBorder="1" applyAlignment="1">
      <alignment horizontal="center" vertical="center"/>
    </xf>
    <xf numFmtId="0" fontId="4" fillId="0" borderId="2" xfId="0" applyFont="1" applyBorder="1" applyAlignment="1"/>
    <xf numFmtId="171" fontId="4" fillId="0" borderId="2" xfId="0" applyNumberFormat="1" applyFont="1" applyBorder="1" applyAlignment="1">
      <alignment horizontal="right"/>
    </xf>
    <xf numFmtId="171" fontId="11" fillId="0" borderId="2" xfId="0" applyNumberFormat="1" applyFont="1" applyBorder="1" applyAlignment="1">
      <alignment vertical="center"/>
    </xf>
    <xf numFmtId="171" fontId="4" fillId="0" borderId="0" xfId="0" applyNumberFormat="1" applyFont="1" applyAlignment="1">
      <alignment horizontal="right"/>
    </xf>
    <xf numFmtId="171" fontId="15" fillId="0" borderId="2" xfId="0" applyNumberFormat="1" applyFont="1" applyBorder="1" applyAlignment="1">
      <alignment horizontal="right"/>
    </xf>
    <xf numFmtId="0" fontId="15" fillId="0" borderId="10" xfId="0" applyFont="1" applyBorder="1"/>
    <xf numFmtId="167" fontId="19" fillId="0" borderId="2" xfId="0" applyNumberFormat="1" applyFont="1" applyBorder="1"/>
    <xf numFmtId="0" fontId="9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/>
    </xf>
    <xf numFmtId="172" fontId="15" fillId="0" borderId="2" xfId="0" applyNumberFormat="1" applyFont="1" applyBorder="1" applyAlignment="1">
      <alignment horizontal="right"/>
    </xf>
    <xf numFmtId="172" fontId="3" fillId="0" borderId="2" xfId="0" applyNumberFormat="1" applyFont="1" applyBorder="1" applyAlignment="1">
      <alignment horizontal="right" wrapText="1"/>
    </xf>
    <xf numFmtId="172" fontId="15" fillId="0" borderId="2" xfId="0" applyNumberFormat="1" applyFont="1" applyBorder="1" applyAlignment="1">
      <alignment horizontal="right" vertical="top"/>
    </xf>
    <xf numFmtId="0" fontId="4" fillId="0" borderId="2" xfId="0" applyFont="1" applyBorder="1"/>
    <xf numFmtId="172" fontId="4" fillId="0" borderId="2" xfId="0" applyNumberFormat="1" applyFont="1" applyBorder="1" applyAlignment="1">
      <alignment horizontal="right"/>
    </xf>
    <xf numFmtId="0" fontId="3" fillId="0" borderId="10" xfId="0" applyFont="1" applyBorder="1" applyAlignment="1">
      <alignment wrapText="1"/>
    </xf>
    <xf numFmtId="0" fontId="3" fillId="0" borderId="10" xfId="0" applyFont="1" applyBorder="1" applyAlignment="1">
      <alignment horizontal="center" wrapText="1"/>
    </xf>
    <xf numFmtId="172" fontId="3" fillId="0" borderId="10" xfId="0" applyNumberFormat="1" applyFont="1" applyBorder="1" applyAlignment="1">
      <alignment horizontal="right" wrapText="1"/>
    </xf>
    <xf numFmtId="3" fontId="11" fillId="0" borderId="2" xfId="0" applyNumberFormat="1" applyFont="1" applyBorder="1"/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169" fontId="18" fillId="0" borderId="33" xfId="0" applyNumberFormat="1" applyFont="1" applyBorder="1" applyAlignment="1">
      <alignment horizontal="center"/>
    </xf>
    <xf numFmtId="0" fontId="3" fillId="0" borderId="0" xfId="0" applyFont="1" applyAlignment="1">
      <alignment horizontal="right" vertical="center"/>
    </xf>
    <xf numFmtId="0" fontId="11" fillId="0" borderId="10" xfId="0" applyFont="1" applyBorder="1" applyAlignment="1">
      <alignment vertical="center"/>
    </xf>
    <xf numFmtId="169" fontId="11" fillId="0" borderId="10" xfId="0" applyNumberFormat="1" applyFont="1" applyBorder="1" applyAlignment="1">
      <alignment horizontal="right" vertical="center"/>
    </xf>
    <xf numFmtId="0" fontId="19" fillId="0" borderId="0" xfId="0" applyFont="1"/>
    <xf numFmtId="0" fontId="11" fillId="0" borderId="2" xfId="0" applyFont="1" applyBorder="1" applyAlignment="1">
      <alignment vertical="center"/>
    </xf>
    <xf numFmtId="169" fontId="11" fillId="0" borderId="2" xfId="0" applyNumberFormat="1" applyFont="1" applyBorder="1" applyAlignment="1">
      <alignment horizontal="right" vertical="center"/>
    </xf>
    <xf numFmtId="0" fontId="20" fillId="0" borderId="2" xfId="0" applyFont="1" applyBorder="1" applyAlignment="1">
      <alignment vertical="center"/>
    </xf>
    <xf numFmtId="169" fontId="20" fillId="0" borderId="2" xfId="0" applyNumberFormat="1" applyFont="1" applyBorder="1" applyAlignment="1">
      <alignment horizontal="right" vertical="center"/>
    </xf>
    <xf numFmtId="0" fontId="21" fillId="0" borderId="0" xfId="0" applyFont="1"/>
    <xf numFmtId="169" fontId="3" fillId="0" borderId="0" xfId="0" applyNumberFormat="1" applyFont="1" applyAlignment="1">
      <alignment vertical="center"/>
    </xf>
    <xf numFmtId="0" fontId="11" fillId="0" borderId="2" xfId="0" applyFont="1" applyBorder="1" applyAlignment="1">
      <alignment horizontal="center" vertical="center"/>
    </xf>
    <xf numFmtId="173" fontId="20" fillId="0" borderId="2" xfId="0" applyNumberFormat="1" applyFont="1" applyBorder="1" applyAlignment="1">
      <alignment horizontal="right" vertical="center"/>
    </xf>
    <xf numFmtId="0" fontId="19" fillId="0" borderId="0" xfId="0" applyFont="1" applyAlignment="1">
      <alignment horizontal="left"/>
    </xf>
    <xf numFmtId="0" fontId="15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8" fillId="12" borderId="12" xfId="0" applyFont="1" applyFill="1" applyBorder="1" applyAlignment="1">
      <alignment horizontal="center"/>
    </xf>
    <xf numFmtId="0" fontId="2" fillId="0" borderId="13" xfId="0" applyFont="1" applyBorder="1"/>
    <xf numFmtId="0" fontId="9" fillId="0" borderId="14" xfId="0" applyFont="1" applyBorder="1" applyAlignment="1">
      <alignment horizontal="right" vertical="center"/>
    </xf>
    <xf numFmtId="0" fontId="2" fillId="0" borderId="6" xfId="0" applyFont="1" applyBorder="1"/>
    <xf numFmtId="165" fontId="10" fillId="0" borderId="14" xfId="0" applyNumberFormat="1" applyFont="1" applyBorder="1" applyAlignment="1">
      <alignment horizontal="left" vertical="center"/>
    </xf>
    <xf numFmtId="0" fontId="9" fillId="0" borderId="6" xfId="0" applyFont="1" applyBorder="1"/>
    <xf numFmtId="0" fontId="2" fillId="0" borderId="9" xfId="0" applyFont="1" applyBorder="1"/>
    <xf numFmtId="165" fontId="9" fillId="0" borderId="6" xfId="0" applyNumberFormat="1" applyFont="1" applyBorder="1" applyAlignment="1">
      <alignment horizontal="left"/>
    </xf>
    <xf numFmtId="0" fontId="10" fillId="0" borderId="15" xfId="0" applyFont="1" applyBorder="1" applyAlignment="1">
      <alignment horizontal="left" vertical="center"/>
    </xf>
    <xf numFmtId="0" fontId="2" fillId="0" borderId="8" xfId="0" applyFont="1" applyBorder="1"/>
    <xf numFmtId="3" fontId="12" fillId="0" borderId="6" xfId="0" applyNumberFormat="1" applyFont="1" applyBorder="1" applyAlignment="1">
      <alignment horizontal="center"/>
    </xf>
    <xf numFmtId="166" fontId="14" fillId="0" borderId="26" xfId="0" applyNumberFormat="1" applyFont="1" applyBorder="1" applyAlignment="1">
      <alignment horizontal="center" vertical="center"/>
    </xf>
    <xf numFmtId="0" fontId="2" fillId="0" borderId="10" xfId="0" applyFont="1" applyBorder="1"/>
    <xf numFmtId="0" fontId="18" fillId="0" borderId="30" xfId="0" applyFont="1" applyBorder="1" applyAlignment="1">
      <alignment horizontal="center"/>
    </xf>
    <xf numFmtId="0" fontId="2" fillId="0" borderId="31" xfId="0" applyFont="1" applyBorder="1"/>
    <xf numFmtId="0" fontId="2" fillId="0" borderId="32" xfId="0" applyFont="1" applyBorder="1"/>
    <xf numFmtId="0" fontId="13" fillId="0" borderId="15" xfId="0" applyFont="1" applyBorder="1" applyAlignment="1">
      <alignment horizontal="center" vertical="center"/>
    </xf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0" fillId="0" borderId="0" xfId="0"/>
    <xf numFmtId="0" fontId="2" fillId="0" borderId="20" xfId="0" applyFont="1" applyBorder="1"/>
    <xf numFmtId="0" fontId="10" fillId="0" borderId="22" xfId="0" applyFont="1" applyBorder="1" applyAlignment="1">
      <alignment horizontal="left" vertical="center" wrapText="1"/>
    </xf>
    <xf numFmtId="0" fontId="2" fillId="0" borderId="23" xfId="0" applyFont="1" applyBorder="1"/>
    <xf numFmtId="0" fontId="14" fillId="14" borderId="24" xfId="0" applyFont="1" applyFill="1" applyBorder="1" applyAlignment="1">
      <alignment horizontal="center" vertical="center"/>
    </xf>
    <xf numFmtId="0" fontId="2" fillId="0" borderId="27" xfId="0" applyFont="1" applyBorder="1"/>
    <xf numFmtId="0" fontId="14" fillId="0" borderId="25" xfId="0" applyFont="1" applyBorder="1" applyAlignment="1">
      <alignment horizontal="center" vertical="center"/>
    </xf>
    <xf numFmtId="0" fontId="2" fillId="0" borderId="28" xfId="0" applyFont="1" applyBorder="1"/>
    <xf numFmtId="3" fontId="14" fillId="0" borderId="26" xfId="0" applyNumberFormat="1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166" fontId="14" fillId="0" borderId="5" xfId="0" applyNumberFormat="1" applyFont="1" applyBorder="1" applyAlignment="1">
      <alignment horizontal="center" vertical="center"/>
    </xf>
    <xf numFmtId="0" fontId="18" fillId="0" borderId="7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5" xfId="0" applyFont="1" applyBorder="1" applyAlignment="1">
      <alignment horizontal="center" vertical="center"/>
    </xf>
    <xf numFmtId="3" fontId="14" fillId="0" borderId="5" xfId="0" applyNumberFormat="1" applyFont="1" applyBorder="1" applyAlignment="1">
      <alignment horizontal="center" vertical="center"/>
    </xf>
    <xf numFmtId="0" fontId="2" fillId="0" borderId="29" xfId="0" applyFont="1" applyBorder="1"/>
    <xf numFmtId="0" fontId="9" fillId="0" borderId="12" xfId="0" applyFont="1" applyBorder="1" applyAlignment="1">
      <alignment horizontal="left" vertical="center"/>
    </xf>
    <xf numFmtId="0" fontId="2" fillId="0" borderId="34" xfId="0" applyFont="1" applyBorder="1"/>
    <xf numFmtId="0" fontId="9" fillId="0" borderId="0" xfId="0" applyFont="1" applyAlignment="1">
      <alignment horizontal="left" vertical="center"/>
    </xf>
    <xf numFmtId="0" fontId="9" fillId="0" borderId="7" xfId="0" applyFont="1" applyBorder="1" applyAlignment="1">
      <alignment horizontal="left"/>
    </xf>
    <xf numFmtId="0" fontId="11" fillId="0" borderId="7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14" fillId="0" borderId="35" xfId="0" applyFont="1" applyBorder="1" applyAlignment="1">
      <alignment horizontal="center" vertical="center"/>
    </xf>
    <xf numFmtId="0" fontId="2" fillId="0" borderId="36" xfId="0" applyFont="1" applyBorder="1"/>
    <xf numFmtId="0" fontId="2" fillId="0" borderId="37" xfId="0" applyFont="1" applyBorder="1"/>
    <xf numFmtId="0" fontId="2" fillId="0" borderId="3" xfId="0" applyFont="1" applyBorder="1"/>
    <xf numFmtId="0" fontId="4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 wrapText="1"/>
    </xf>
    <xf numFmtId="0" fontId="3" fillId="0" borderId="7" xfId="0" applyFont="1" applyBorder="1" applyAlignment="1">
      <alignment horizontal="center" vertical="center"/>
    </xf>
    <xf numFmtId="0" fontId="3" fillId="0" borderId="35" xfId="0" applyFont="1" applyFill="1" applyBorder="1" applyAlignment="1">
      <alignment horizontal="center" vertical="center"/>
    </xf>
    <xf numFmtId="0" fontId="2" fillId="0" borderId="35" xfId="0" applyFont="1" applyFill="1" applyBorder="1"/>
    <xf numFmtId="0" fontId="11" fillId="0" borderId="35" xfId="0" applyFont="1" applyFill="1" applyBorder="1" applyAlignment="1">
      <alignment vertical="center"/>
    </xf>
    <xf numFmtId="169" fontId="11" fillId="0" borderId="35" xfId="0" applyNumberFormat="1" applyFont="1" applyFill="1" applyBorder="1" applyAlignment="1">
      <alignment horizontal="right" vertical="center"/>
    </xf>
    <xf numFmtId="0" fontId="20" fillId="0" borderId="35" xfId="0" applyFont="1" applyFill="1" applyBorder="1" applyAlignment="1">
      <alignment vertical="center"/>
    </xf>
    <xf numFmtId="169" fontId="20" fillId="0" borderId="35" xfId="0" applyNumberFormat="1" applyFont="1" applyFill="1" applyBorder="1" applyAlignment="1">
      <alignment horizontal="right" vertical="center"/>
    </xf>
    <xf numFmtId="0" fontId="20" fillId="0" borderId="35" xfId="0" applyFont="1" applyFill="1" applyBorder="1" applyAlignment="1">
      <alignment horizontal="left" vertical="center"/>
    </xf>
    <xf numFmtId="173" fontId="20" fillId="0" borderId="35" xfId="0" applyNumberFormat="1" applyFont="1" applyFill="1" applyBorder="1" applyAlignment="1">
      <alignment horizontal="right" vertical="center"/>
    </xf>
    <xf numFmtId="0" fontId="17" fillId="0" borderId="35" xfId="0" applyFont="1" applyFill="1" applyBorder="1"/>
    <xf numFmtId="168" fontId="17" fillId="0" borderId="35" xfId="0" applyNumberFormat="1" applyFont="1" applyFill="1" applyBorder="1"/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AD9D6"/>
          <bgColor rgb="FFFAD9D6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00"/>
  <sheetViews>
    <sheetView workbookViewId="0"/>
  </sheetViews>
  <sheetFormatPr defaultColWidth="12.6640625" defaultRowHeight="15" customHeight="1" x14ac:dyDescent="0.25"/>
  <cols>
    <col min="1" max="1" width="2.6640625" customWidth="1"/>
    <col min="2" max="2" width="21.77734375" customWidth="1"/>
    <col min="3" max="3" width="24.77734375" customWidth="1"/>
    <col min="4" max="4" width="27.6640625" customWidth="1"/>
    <col min="5" max="5" width="31.44140625" customWidth="1"/>
    <col min="6" max="6" width="23.21875" customWidth="1"/>
    <col min="7" max="7" width="23.33203125" customWidth="1"/>
  </cols>
  <sheetData>
    <row r="1" spans="1:26" ht="15.75" customHeight="1" x14ac:dyDescent="0.25"/>
    <row r="2" spans="1:26" ht="30" customHeight="1" x14ac:dyDescent="0.25">
      <c r="B2" s="148" t="s">
        <v>0</v>
      </c>
      <c r="C2" s="149"/>
      <c r="D2" s="149"/>
      <c r="E2" s="149"/>
      <c r="F2" s="149"/>
      <c r="G2" s="149"/>
      <c r="H2" s="1"/>
    </row>
    <row r="3" spans="1:26" ht="15.75" customHeight="1" x14ac:dyDescent="0.25">
      <c r="B3" s="2">
        <v>46223</v>
      </c>
      <c r="C3" s="3">
        <f t="shared" ref="C3:G3" si="0">B3+1</f>
        <v>46224</v>
      </c>
      <c r="D3" s="3">
        <f t="shared" si="0"/>
        <v>46225</v>
      </c>
      <c r="E3" s="3">
        <f t="shared" si="0"/>
        <v>46226</v>
      </c>
      <c r="F3" s="3">
        <f t="shared" si="0"/>
        <v>46227</v>
      </c>
      <c r="G3" s="3">
        <f t="shared" si="0"/>
        <v>46228</v>
      </c>
      <c r="H3" s="4"/>
    </row>
    <row r="4" spans="1:26" ht="15.75" customHeight="1" x14ac:dyDescent="0.25">
      <c r="A4" s="5"/>
      <c r="B4" s="6" t="s">
        <v>1</v>
      </c>
      <c r="C4" s="6" t="s">
        <v>1</v>
      </c>
      <c r="D4" s="6" t="s">
        <v>1</v>
      </c>
      <c r="E4" s="6" t="s">
        <v>2</v>
      </c>
      <c r="F4" s="6" t="s">
        <v>3</v>
      </c>
      <c r="G4" s="6" t="s">
        <v>4</v>
      </c>
      <c r="H4" s="7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25">
      <c r="A5" s="5"/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7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5">
      <c r="A6" s="5"/>
      <c r="B6" s="6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5">
      <c r="A7" s="5"/>
      <c r="B7" s="8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6"/>
      <c r="H7" s="7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5">
      <c r="A8" s="5"/>
      <c r="B8" s="6" t="s">
        <v>22</v>
      </c>
      <c r="C8" s="6" t="s">
        <v>23</v>
      </c>
      <c r="D8" s="6" t="s">
        <v>24</v>
      </c>
      <c r="E8" s="6" t="s">
        <v>25</v>
      </c>
      <c r="F8" s="6" t="s">
        <v>26</v>
      </c>
      <c r="G8" s="9"/>
      <c r="H8" s="7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5">
      <c r="B9" s="5"/>
      <c r="C9" s="5"/>
      <c r="D9" s="5"/>
      <c r="E9" s="5"/>
      <c r="F9" s="5"/>
    </row>
    <row r="10" spans="1:26" ht="15.75" customHeight="1" x14ac:dyDescent="0.25">
      <c r="B10" s="5"/>
      <c r="C10" s="5"/>
      <c r="D10" s="5"/>
      <c r="E10" s="5"/>
      <c r="F10" s="5"/>
    </row>
    <row r="11" spans="1:26" ht="15.75" customHeight="1" x14ac:dyDescent="0.25"/>
    <row r="12" spans="1:26" ht="15.75" customHeight="1" x14ac:dyDescent="0.25"/>
    <row r="13" spans="1:26" ht="15.75" customHeight="1" x14ac:dyDescent="0.25"/>
    <row r="14" spans="1:26" ht="15.75" customHeight="1" x14ac:dyDescent="0.25"/>
    <row r="15" spans="1:26" ht="15.75" customHeight="1" x14ac:dyDescent="0.25"/>
    <row r="16" spans="1:2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G2"/>
  </mergeCells>
  <pageMargins left="0.25" right="0.25" top="0.75" bottom="0.75" header="0" footer="0"/>
  <pageSetup paperSize="9" pageOrder="overThenDown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R1000"/>
  <sheetViews>
    <sheetView workbookViewId="0"/>
  </sheetViews>
  <sheetFormatPr defaultColWidth="12.6640625" defaultRowHeight="15" customHeight="1" x14ac:dyDescent="0.25"/>
  <sheetData>
    <row r="1" spans="1:44" ht="15.75" customHeight="1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</row>
    <row r="2" spans="1:44" ht="15.75" customHeight="1" x14ac:dyDescent="0.3">
      <c r="A2" s="11" t="s">
        <v>27</v>
      </c>
      <c r="B2" s="12" t="s">
        <v>28</v>
      </c>
      <c r="C2" s="13" t="s">
        <v>29</v>
      </c>
      <c r="D2" s="13" t="s">
        <v>30</v>
      </c>
      <c r="E2" s="13" t="s">
        <v>31</v>
      </c>
      <c r="F2" s="14" t="s">
        <v>32</v>
      </c>
      <c r="G2" s="14" t="s">
        <v>33</v>
      </c>
      <c r="H2" s="14" t="s">
        <v>34</v>
      </c>
      <c r="I2" s="14" t="s">
        <v>35</v>
      </c>
      <c r="J2" s="14" t="s">
        <v>36</v>
      </c>
      <c r="K2" s="15" t="s">
        <v>37</v>
      </c>
      <c r="L2" s="15" t="s">
        <v>38</v>
      </c>
      <c r="M2" s="15" t="s">
        <v>39</v>
      </c>
      <c r="N2" s="16" t="s">
        <v>32</v>
      </c>
      <c r="O2" s="16" t="s">
        <v>33</v>
      </c>
      <c r="P2" s="16" t="s">
        <v>34</v>
      </c>
      <c r="Q2" s="16" t="s">
        <v>35</v>
      </c>
      <c r="R2" s="16" t="s">
        <v>36</v>
      </c>
      <c r="S2" s="17" t="s">
        <v>40</v>
      </c>
      <c r="T2" s="17" t="s">
        <v>41</v>
      </c>
      <c r="U2" s="17" t="s">
        <v>42</v>
      </c>
      <c r="V2" s="18" t="s">
        <v>32</v>
      </c>
      <c r="W2" s="18" t="s">
        <v>33</v>
      </c>
      <c r="X2" s="18" t="s">
        <v>34</v>
      </c>
      <c r="Y2" s="19" t="s">
        <v>35</v>
      </c>
      <c r="Z2" s="18" t="s">
        <v>36</v>
      </c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</row>
    <row r="3" spans="1:44" ht="15.75" customHeight="1" x14ac:dyDescent="0.3">
      <c r="A3" s="20"/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</row>
    <row r="4" spans="1:44" ht="15.75" customHeight="1" x14ac:dyDescent="0.3">
      <c r="A4" s="20"/>
      <c r="B4" s="20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</row>
    <row r="5" spans="1:44" ht="15.75" customHeight="1" x14ac:dyDescent="0.3">
      <c r="A5" s="22"/>
      <c r="B5" s="23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</row>
    <row r="6" spans="1:44" ht="15.75" customHeight="1" x14ac:dyDescent="0.3">
      <c r="A6" s="20"/>
      <c r="B6" s="20"/>
      <c r="C6" s="24"/>
      <c r="D6" s="21"/>
      <c r="E6" s="21"/>
      <c r="F6" s="21"/>
      <c r="G6" s="21"/>
      <c r="H6" s="21"/>
      <c r="I6" s="21"/>
      <c r="J6" s="24"/>
      <c r="K6" s="24"/>
      <c r="L6" s="21"/>
      <c r="M6" s="21"/>
      <c r="N6" s="21"/>
      <c r="O6" s="21"/>
      <c r="P6" s="21"/>
      <c r="Q6" s="21"/>
      <c r="R6" s="21"/>
      <c r="S6" s="24"/>
      <c r="T6" s="21"/>
      <c r="U6" s="21"/>
      <c r="V6" s="21"/>
      <c r="W6" s="21"/>
      <c r="X6" s="21"/>
      <c r="Y6" s="21"/>
      <c r="Z6" s="21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</row>
    <row r="7" spans="1:44" ht="15.75" customHeight="1" x14ac:dyDescent="0.3">
      <c r="A7" s="25" t="s">
        <v>43</v>
      </c>
      <c r="B7" s="26"/>
      <c r="C7" s="26"/>
      <c r="D7" s="26"/>
      <c r="E7" s="27"/>
      <c r="F7" s="28">
        <f t="shared" ref="F7:J7" si="0">SUM(F3:F6)</f>
        <v>0</v>
      </c>
      <c r="G7" s="28">
        <f t="shared" si="0"/>
        <v>0</v>
      </c>
      <c r="H7" s="28">
        <f t="shared" si="0"/>
        <v>0</v>
      </c>
      <c r="I7" s="28">
        <f t="shared" si="0"/>
        <v>0</v>
      </c>
      <c r="J7" s="29">
        <f t="shared" si="0"/>
        <v>0</v>
      </c>
      <c r="K7" s="30"/>
      <c r="L7" s="26"/>
      <c r="M7" s="27"/>
      <c r="N7" s="31">
        <f t="shared" ref="N7:R7" si="1">SUM(N3:N6)</f>
        <v>0</v>
      </c>
      <c r="O7" s="31">
        <f t="shared" si="1"/>
        <v>0</v>
      </c>
      <c r="P7" s="31">
        <f t="shared" si="1"/>
        <v>0</v>
      </c>
      <c r="Q7" s="31">
        <f t="shared" si="1"/>
        <v>0</v>
      </c>
      <c r="R7" s="29">
        <f t="shared" si="1"/>
        <v>0</v>
      </c>
      <c r="S7" s="30"/>
      <c r="T7" s="26"/>
      <c r="U7" s="27"/>
      <c r="V7" s="31">
        <f t="shared" ref="V7:Z7" si="2">SUM(V3:V6)</f>
        <v>0</v>
      </c>
      <c r="W7" s="31">
        <f t="shared" si="2"/>
        <v>0</v>
      </c>
      <c r="X7" s="31">
        <f t="shared" si="2"/>
        <v>0</v>
      </c>
      <c r="Y7" s="32">
        <f t="shared" si="2"/>
        <v>0</v>
      </c>
      <c r="Z7" s="21">
        <f t="shared" si="2"/>
        <v>0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</row>
    <row r="8" spans="1:44" ht="15.75" customHeight="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</row>
    <row r="9" spans="1:44" ht="15.75" customHeight="1" x14ac:dyDescent="0.3">
      <c r="A9" s="11" t="s">
        <v>44</v>
      </c>
      <c r="B9" s="12" t="s">
        <v>28</v>
      </c>
      <c r="C9" s="13" t="s">
        <v>29</v>
      </c>
      <c r="D9" s="13" t="s">
        <v>30</v>
      </c>
      <c r="E9" s="13" t="s">
        <v>31</v>
      </c>
      <c r="F9" s="14" t="s">
        <v>32</v>
      </c>
      <c r="G9" s="14" t="s">
        <v>33</v>
      </c>
      <c r="H9" s="14" t="s">
        <v>34</v>
      </c>
      <c r="I9" s="14" t="s">
        <v>35</v>
      </c>
      <c r="J9" s="14" t="s">
        <v>36</v>
      </c>
      <c r="K9" s="15" t="s">
        <v>37</v>
      </c>
      <c r="L9" s="15" t="s">
        <v>38</v>
      </c>
      <c r="M9" s="15" t="s">
        <v>39</v>
      </c>
      <c r="N9" s="16" t="s">
        <v>32</v>
      </c>
      <c r="O9" s="16" t="s">
        <v>33</v>
      </c>
      <c r="P9" s="16" t="s">
        <v>34</v>
      </c>
      <c r="Q9" s="16" t="s">
        <v>35</v>
      </c>
      <c r="R9" s="16" t="s">
        <v>36</v>
      </c>
      <c r="S9" s="17" t="s">
        <v>40</v>
      </c>
      <c r="T9" s="17" t="s">
        <v>41</v>
      </c>
      <c r="U9" s="17" t="s">
        <v>42</v>
      </c>
      <c r="V9" s="18" t="s">
        <v>32</v>
      </c>
      <c r="W9" s="18" t="s">
        <v>33</v>
      </c>
      <c r="X9" s="18" t="s">
        <v>34</v>
      </c>
      <c r="Y9" s="19" t="s">
        <v>35</v>
      </c>
      <c r="Z9" s="18" t="s">
        <v>36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</row>
    <row r="10" spans="1:44" ht="15.75" customHeight="1" x14ac:dyDescent="0.3">
      <c r="A10" s="20"/>
      <c r="B10" s="20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15.75" customHeight="1" x14ac:dyDescent="0.3">
      <c r="A11" s="33"/>
      <c r="B11" s="20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</row>
    <row r="12" spans="1:44" ht="15.75" customHeight="1" x14ac:dyDescent="0.3">
      <c r="A12" s="20"/>
      <c r="B12" s="20"/>
      <c r="C12" s="33"/>
      <c r="D12" s="33"/>
      <c r="E12" s="33"/>
      <c r="F12" s="21"/>
      <c r="G12" s="21"/>
      <c r="H12" s="21"/>
      <c r="I12" s="21"/>
      <c r="J12" s="21"/>
      <c r="K12" s="33"/>
      <c r="L12" s="33"/>
      <c r="M12" s="33"/>
      <c r="N12" s="21"/>
      <c r="O12" s="21"/>
      <c r="P12" s="21"/>
      <c r="Q12" s="21"/>
      <c r="R12" s="21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</row>
    <row r="13" spans="1:44" ht="15.75" customHeight="1" x14ac:dyDescent="0.3">
      <c r="A13" s="20"/>
      <c r="B13" s="20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33"/>
      <c r="T13" s="33"/>
      <c r="U13" s="33"/>
      <c r="V13" s="33"/>
      <c r="W13" s="33"/>
      <c r="X13" s="33"/>
      <c r="Y13" s="33"/>
      <c r="Z13" s="33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</row>
    <row r="14" spans="1:44" ht="15.75" customHeight="1" x14ac:dyDescent="0.3">
      <c r="A14" s="20"/>
      <c r="B14" s="20"/>
      <c r="C14" s="24"/>
      <c r="D14" s="21"/>
      <c r="E14" s="21"/>
      <c r="F14" s="21"/>
      <c r="G14" s="21"/>
      <c r="H14" s="21"/>
      <c r="I14" s="21"/>
      <c r="J14" s="21"/>
      <c r="K14" s="24"/>
      <c r="L14" s="21"/>
      <c r="M14" s="21"/>
      <c r="N14" s="21"/>
      <c r="O14" s="21"/>
      <c r="P14" s="21"/>
      <c r="Q14" s="21"/>
      <c r="R14" s="21"/>
      <c r="S14" s="24"/>
      <c r="T14" s="21"/>
      <c r="U14" s="21"/>
      <c r="V14" s="21"/>
      <c r="W14" s="21"/>
      <c r="X14" s="21"/>
      <c r="Y14" s="21"/>
      <c r="Z14" s="21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</row>
    <row r="15" spans="1:44" ht="15.75" customHeight="1" x14ac:dyDescent="0.3">
      <c r="A15" s="25" t="s">
        <v>43</v>
      </c>
      <c r="B15" s="26"/>
      <c r="C15" s="26"/>
      <c r="D15" s="26"/>
      <c r="E15" s="27"/>
      <c r="F15" s="28">
        <f t="shared" ref="F15:J15" si="3">SUM(F10:F14)</f>
        <v>0</v>
      </c>
      <c r="G15" s="28">
        <f t="shared" si="3"/>
        <v>0</v>
      </c>
      <c r="H15" s="28">
        <f t="shared" si="3"/>
        <v>0</v>
      </c>
      <c r="I15" s="28">
        <f t="shared" si="3"/>
        <v>0</v>
      </c>
      <c r="J15" s="28">
        <f t="shared" si="3"/>
        <v>0</v>
      </c>
      <c r="K15" s="30"/>
      <c r="L15" s="26"/>
      <c r="M15" s="27"/>
      <c r="N15" s="31">
        <f t="shared" ref="N15:R15" si="4">SUM(N10:N14)</f>
        <v>0</v>
      </c>
      <c r="O15" s="31">
        <f t="shared" si="4"/>
        <v>0</v>
      </c>
      <c r="P15" s="31">
        <f t="shared" si="4"/>
        <v>0</v>
      </c>
      <c r="Q15" s="31">
        <f t="shared" si="4"/>
        <v>0</v>
      </c>
      <c r="R15" s="31">
        <f t="shared" si="4"/>
        <v>0</v>
      </c>
      <c r="S15" s="30"/>
      <c r="T15" s="26"/>
      <c r="U15" s="27"/>
      <c r="V15" s="31">
        <f t="shared" ref="V15:Z15" si="5">SUM(V10:V13)</f>
        <v>0</v>
      </c>
      <c r="W15" s="31">
        <f t="shared" si="5"/>
        <v>0</v>
      </c>
      <c r="X15" s="31">
        <f t="shared" si="5"/>
        <v>0</v>
      </c>
      <c r="Y15" s="32">
        <f t="shared" si="5"/>
        <v>0</v>
      </c>
      <c r="Z15" s="21">
        <f t="shared" si="5"/>
        <v>0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</row>
    <row r="16" spans="1:44" ht="15.75" customHeight="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</row>
    <row r="17" spans="1:44" ht="15.75" customHeight="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</row>
    <row r="18" spans="1:44" ht="15.75" customHeight="1" x14ac:dyDescent="0.3">
      <c r="A18" s="11" t="s">
        <v>45</v>
      </c>
      <c r="B18" s="12" t="s">
        <v>28</v>
      </c>
      <c r="C18" s="13" t="s">
        <v>29</v>
      </c>
      <c r="D18" s="13" t="s">
        <v>30</v>
      </c>
      <c r="E18" s="13" t="s">
        <v>31</v>
      </c>
      <c r="F18" s="14" t="s">
        <v>32</v>
      </c>
      <c r="G18" s="14" t="s">
        <v>33</v>
      </c>
      <c r="H18" s="14" t="s">
        <v>34</v>
      </c>
      <c r="I18" s="14" t="s">
        <v>35</v>
      </c>
      <c r="J18" s="14" t="s">
        <v>36</v>
      </c>
      <c r="K18" s="15" t="s">
        <v>37</v>
      </c>
      <c r="L18" s="15" t="s">
        <v>38</v>
      </c>
      <c r="M18" s="15" t="s">
        <v>39</v>
      </c>
      <c r="N18" s="16" t="s">
        <v>32</v>
      </c>
      <c r="O18" s="16" t="s">
        <v>33</v>
      </c>
      <c r="P18" s="16" t="s">
        <v>34</v>
      </c>
      <c r="Q18" s="16" t="s">
        <v>35</v>
      </c>
      <c r="R18" s="16" t="s">
        <v>36</v>
      </c>
      <c r="S18" s="17" t="s">
        <v>40</v>
      </c>
      <c r="T18" s="17" t="s">
        <v>41</v>
      </c>
      <c r="U18" s="17" t="s">
        <v>42</v>
      </c>
      <c r="V18" s="18" t="s">
        <v>32</v>
      </c>
      <c r="W18" s="18" t="s">
        <v>33</v>
      </c>
      <c r="X18" s="18" t="s">
        <v>34</v>
      </c>
      <c r="Y18" s="19" t="s">
        <v>35</v>
      </c>
      <c r="Z18" s="18" t="s">
        <v>36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</row>
    <row r="19" spans="1:44" ht="15.75" customHeight="1" x14ac:dyDescent="0.3">
      <c r="A19" s="20"/>
      <c r="B19" s="20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33"/>
      <c r="T19" s="33"/>
      <c r="U19" s="33"/>
      <c r="V19" s="33"/>
      <c r="W19" s="33"/>
      <c r="X19" s="33"/>
      <c r="Y19" s="33"/>
      <c r="Z19" s="33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</row>
    <row r="20" spans="1:44" ht="15.75" customHeight="1" x14ac:dyDescent="0.3">
      <c r="A20" s="34"/>
      <c r="B20" s="34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</row>
    <row r="21" spans="1:44" ht="15.75" customHeight="1" x14ac:dyDescent="0.3">
      <c r="A21" s="22"/>
      <c r="B21" s="23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33"/>
      <c r="T21" s="33"/>
      <c r="U21" s="33"/>
      <c r="V21" s="33"/>
      <c r="W21" s="33"/>
      <c r="X21" s="33"/>
      <c r="Y21" s="33"/>
      <c r="Z21" s="33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</row>
    <row r="22" spans="1:44" ht="15.75" customHeight="1" x14ac:dyDescent="0.3">
      <c r="A22" s="20"/>
      <c r="B22" s="35"/>
      <c r="C22" s="33"/>
      <c r="D22" s="33"/>
      <c r="E22" s="33"/>
      <c r="F22" s="21"/>
      <c r="G22" s="21"/>
      <c r="H22" s="21"/>
      <c r="I22" s="21"/>
      <c r="J22" s="24"/>
      <c r="K22" s="33"/>
      <c r="L22" s="33"/>
      <c r="M22" s="33"/>
      <c r="N22" s="21"/>
      <c r="O22" s="21"/>
      <c r="P22" s="21"/>
      <c r="Q22" s="21"/>
      <c r="R22" s="24"/>
      <c r="S22" s="33"/>
      <c r="T22" s="33"/>
      <c r="U22" s="33"/>
      <c r="V22" s="33"/>
      <c r="W22" s="33"/>
      <c r="X22" s="33"/>
      <c r="Y22" s="33"/>
      <c r="Z22" s="33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</row>
    <row r="23" spans="1:44" ht="15.75" customHeight="1" x14ac:dyDescent="0.3">
      <c r="A23" s="33"/>
      <c r="B23" s="20"/>
      <c r="C23" s="24"/>
      <c r="D23" s="21"/>
      <c r="E23" s="21"/>
      <c r="F23" s="21"/>
      <c r="G23" s="21"/>
      <c r="H23" s="21"/>
      <c r="I23" s="21"/>
      <c r="J23" s="24"/>
      <c r="K23" s="24"/>
      <c r="L23" s="21"/>
      <c r="M23" s="21"/>
      <c r="N23" s="21"/>
      <c r="O23" s="21"/>
      <c r="P23" s="21"/>
      <c r="Q23" s="21"/>
      <c r="R23" s="24"/>
      <c r="S23" s="33"/>
      <c r="T23" s="33"/>
      <c r="U23" s="33"/>
      <c r="V23" s="33"/>
      <c r="W23" s="33"/>
      <c r="X23" s="33"/>
      <c r="Y23" s="33"/>
      <c r="Z23" s="33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</row>
    <row r="24" spans="1:44" ht="15.75" customHeight="1" x14ac:dyDescent="0.3">
      <c r="A24" s="25" t="s">
        <v>43</v>
      </c>
      <c r="B24" s="26"/>
      <c r="C24" s="26"/>
      <c r="D24" s="26"/>
      <c r="E24" s="27"/>
      <c r="F24" s="28">
        <f t="shared" ref="F24:J24" si="6">SUM(F19:F23)</f>
        <v>0</v>
      </c>
      <c r="G24" s="28">
        <f t="shared" si="6"/>
        <v>0</v>
      </c>
      <c r="H24" s="28">
        <f t="shared" si="6"/>
        <v>0</v>
      </c>
      <c r="I24" s="28">
        <f t="shared" si="6"/>
        <v>0</v>
      </c>
      <c r="J24" s="29">
        <f t="shared" si="6"/>
        <v>0</v>
      </c>
      <c r="K24" s="30"/>
      <c r="L24" s="26"/>
      <c r="M24" s="27"/>
      <c r="N24" s="31">
        <f t="shared" ref="N24:R24" si="7">SUM(N19:N23)</f>
        <v>0</v>
      </c>
      <c r="O24" s="31">
        <f t="shared" si="7"/>
        <v>0</v>
      </c>
      <c r="P24" s="31">
        <f t="shared" si="7"/>
        <v>0</v>
      </c>
      <c r="Q24" s="31">
        <f t="shared" si="7"/>
        <v>0</v>
      </c>
      <c r="R24" s="29">
        <f t="shared" si="7"/>
        <v>0</v>
      </c>
      <c r="S24" s="30"/>
      <c r="T24" s="26"/>
      <c r="U24" s="27"/>
      <c r="V24" s="31">
        <f t="shared" ref="V24:Z24" si="8">SUM(V19:V23)</f>
        <v>0</v>
      </c>
      <c r="W24" s="31">
        <f t="shared" si="8"/>
        <v>0</v>
      </c>
      <c r="X24" s="31">
        <f t="shared" si="8"/>
        <v>0</v>
      </c>
      <c r="Y24" s="32">
        <f t="shared" si="8"/>
        <v>0</v>
      </c>
      <c r="Z24" s="21">
        <f t="shared" si="8"/>
        <v>0</v>
      </c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</row>
    <row r="25" spans="1:44" ht="15.75" customHeight="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</row>
    <row r="26" spans="1:44" ht="15.75" customHeight="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</row>
    <row r="27" spans="1:44" ht="15.75" customHeight="1" x14ac:dyDescent="0.3">
      <c r="A27" s="11" t="s">
        <v>46</v>
      </c>
      <c r="B27" s="12" t="s">
        <v>28</v>
      </c>
      <c r="C27" s="13" t="s">
        <v>29</v>
      </c>
      <c r="D27" s="13" t="s">
        <v>30</v>
      </c>
      <c r="E27" s="13" t="s">
        <v>31</v>
      </c>
      <c r="F27" s="14" t="s">
        <v>32</v>
      </c>
      <c r="G27" s="14" t="s">
        <v>33</v>
      </c>
      <c r="H27" s="14" t="s">
        <v>34</v>
      </c>
      <c r="I27" s="14" t="s">
        <v>35</v>
      </c>
      <c r="J27" s="14" t="s">
        <v>36</v>
      </c>
      <c r="K27" s="15" t="s">
        <v>37</v>
      </c>
      <c r="L27" s="15" t="s">
        <v>38</v>
      </c>
      <c r="M27" s="15" t="s">
        <v>39</v>
      </c>
      <c r="N27" s="16" t="s">
        <v>32</v>
      </c>
      <c r="O27" s="16" t="s">
        <v>33</v>
      </c>
      <c r="P27" s="16" t="s">
        <v>34</v>
      </c>
      <c r="Q27" s="16" t="s">
        <v>35</v>
      </c>
      <c r="R27" s="16" t="s">
        <v>36</v>
      </c>
      <c r="S27" s="17" t="s">
        <v>40</v>
      </c>
      <c r="T27" s="17" t="s">
        <v>41</v>
      </c>
      <c r="U27" s="17" t="s">
        <v>42</v>
      </c>
      <c r="V27" s="18" t="s">
        <v>32</v>
      </c>
      <c r="W27" s="18" t="s">
        <v>33</v>
      </c>
      <c r="X27" s="18" t="s">
        <v>34</v>
      </c>
      <c r="Y27" s="19" t="s">
        <v>35</v>
      </c>
      <c r="Z27" s="18" t="s">
        <v>36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</row>
    <row r="28" spans="1:44" ht="15.75" customHeight="1" x14ac:dyDescent="0.3">
      <c r="A28" s="20"/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33"/>
      <c r="T28" s="33"/>
      <c r="U28" s="33"/>
      <c r="V28" s="33"/>
      <c r="W28" s="33"/>
      <c r="X28" s="33"/>
      <c r="Y28" s="33"/>
      <c r="Z28" s="33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</row>
    <row r="29" spans="1:44" ht="15.75" customHeight="1" x14ac:dyDescent="0.3">
      <c r="A29" s="20"/>
      <c r="B29" s="20"/>
      <c r="C29" s="21"/>
      <c r="D29" s="21"/>
      <c r="E29" s="21"/>
      <c r="F29" s="21"/>
      <c r="G29" s="21"/>
      <c r="H29" s="21"/>
      <c r="I29" s="21"/>
      <c r="J29" s="21"/>
      <c r="K29" s="33"/>
      <c r="L29" s="33"/>
      <c r="M29" s="33"/>
      <c r="N29" s="21"/>
      <c r="O29" s="21"/>
      <c r="P29" s="21"/>
      <c r="Q29" s="21"/>
      <c r="R29" s="21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</row>
    <row r="30" spans="1:44" ht="15.75" customHeight="1" x14ac:dyDescent="0.3">
      <c r="A30" s="20"/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33"/>
      <c r="T30" s="33"/>
      <c r="U30" s="33"/>
      <c r="V30" s="33"/>
      <c r="W30" s="33"/>
      <c r="X30" s="33"/>
      <c r="Y30" s="33"/>
      <c r="Z30" s="33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</row>
    <row r="31" spans="1:44" ht="15.75" customHeight="1" x14ac:dyDescent="0.3">
      <c r="A31" s="20"/>
      <c r="B31" s="20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</row>
    <row r="32" spans="1:44" ht="15.75" customHeight="1" x14ac:dyDescent="0.3">
      <c r="A32" s="25" t="s">
        <v>43</v>
      </c>
      <c r="B32" s="26"/>
      <c r="C32" s="26"/>
      <c r="D32" s="26"/>
      <c r="E32" s="27"/>
      <c r="F32" s="28">
        <f t="shared" ref="F32:J32" si="9">SUM(F28:F31)</f>
        <v>0</v>
      </c>
      <c r="G32" s="28">
        <f t="shared" si="9"/>
        <v>0</v>
      </c>
      <c r="H32" s="28">
        <f t="shared" si="9"/>
        <v>0</v>
      </c>
      <c r="I32" s="28">
        <f t="shared" si="9"/>
        <v>0</v>
      </c>
      <c r="J32" s="29">
        <f t="shared" si="9"/>
        <v>0</v>
      </c>
      <c r="K32" s="30"/>
      <c r="L32" s="26"/>
      <c r="M32" s="27"/>
      <c r="N32" s="31">
        <f t="shared" ref="N32:R32" si="10">SUM(N28:N31)</f>
        <v>0</v>
      </c>
      <c r="O32" s="31">
        <f t="shared" si="10"/>
        <v>0</v>
      </c>
      <c r="P32" s="31">
        <f t="shared" si="10"/>
        <v>0</v>
      </c>
      <c r="Q32" s="31">
        <f t="shared" si="10"/>
        <v>0</v>
      </c>
      <c r="R32" s="29">
        <f t="shared" si="10"/>
        <v>0</v>
      </c>
      <c r="S32" s="30"/>
      <c r="T32" s="26"/>
      <c r="U32" s="27"/>
      <c r="V32" s="31">
        <f t="shared" ref="V32:Z32" si="11">SUM(V28:V31)</f>
        <v>0</v>
      </c>
      <c r="W32" s="31">
        <f t="shared" si="11"/>
        <v>0</v>
      </c>
      <c r="X32" s="31">
        <f t="shared" si="11"/>
        <v>0</v>
      </c>
      <c r="Y32" s="32">
        <f t="shared" si="11"/>
        <v>0</v>
      </c>
      <c r="Z32" s="21">
        <f t="shared" si="11"/>
        <v>0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</row>
    <row r="33" spans="1:44" ht="15.75" customHeight="1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</row>
    <row r="34" spans="1:44" ht="15.75" customHeight="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</row>
    <row r="35" spans="1:44" ht="15.75" customHeight="1" x14ac:dyDescent="0.3">
      <c r="A35" s="11" t="s">
        <v>47</v>
      </c>
      <c r="B35" s="12" t="s">
        <v>28</v>
      </c>
      <c r="C35" s="13" t="s">
        <v>29</v>
      </c>
      <c r="D35" s="13" t="s">
        <v>30</v>
      </c>
      <c r="E35" s="13" t="s">
        <v>31</v>
      </c>
      <c r="F35" s="14" t="s">
        <v>32</v>
      </c>
      <c r="G35" s="14" t="s">
        <v>33</v>
      </c>
      <c r="H35" s="14" t="s">
        <v>34</v>
      </c>
      <c r="I35" s="14" t="s">
        <v>35</v>
      </c>
      <c r="J35" s="14" t="s">
        <v>36</v>
      </c>
      <c r="K35" s="15" t="s">
        <v>37</v>
      </c>
      <c r="L35" s="15" t="s">
        <v>38</v>
      </c>
      <c r="M35" s="15" t="s">
        <v>39</v>
      </c>
      <c r="N35" s="16" t="s">
        <v>32</v>
      </c>
      <c r="O35" s="16" t="s">
        <v>33</v>
      </c>
      <c r="P35" s="16" t="s">
        <v>34</v>
      </c>
      <c r="Q35" s="16" t="s">
        <v>35</v>
      </c>
      <c r="R35" s="16" t="s">
        <v>36</v>
      </c>
      <c r="S35" s="17" t="s">
        <v>40</v>
      </c>
      <c r="T35" s="17" t="s">
        <v>41</v>
      </c>
      <c r="U35" s="17" t="s">
        <v>42</v>
      </c>
      <c r="V35" s="18" t="s">
        <v>32</v>
      </c>
      <c r="W35" s="18" t="s">
        <v>33</v>
      </c>
      <c r="X35" s="18" t="s">
        <v>34</v>
      </c>
      <c r="Y35" s="19" t="s">
        <v>35</v>
      </c>
      <c r="Z35" s="18" t="s">
        <v>36</v>
      </c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</row>
    <row r="36" spans="1:44" ht="15.75" customHeight="1" x14ac:dyDescent="0.3">
      <c r="A36" s="22"/>
      <c r="B36" s="22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33"/>
      <c r="T36" s="33"/>
      <c r="U36" s="33"/>
      <c r="V36" s="33"/>
      <c r="W36" s="33"/>
      <c r="X36" s="33"/>
      <c r="Y36" s="33"/>
      <c r="Z36" s="33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</row>
    <row r="37" spans="1:44" ht="15.75" customHeight="1" x14ac:dyDescent="0.3">
      <c r="A37" s="20"/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</row>
    <row r="38" spans="1:44" ht="15.75" customHeight="1" x14ac:dyDescent="0.3">
      <c r="A38" s="22"/>
      <c r="B38" s="23"/>
      <c r="C38" s="21"/>
      <c r="D38" s="21"/>
      <c r="E38" s="21"/>
      <c r="F38" s="21"/>
      <c r="G38" s="21"/>
      <c r="H38" s="21"/>
      <c r="I38" s="21"/>
      <c r="J38" s="21"/>
      <c r="K38" s="33"/>
      <c r="L38" s="33"/>
      <c r="M38" s="33"/>
      <c r="N38" s="21"/>
      <c r="O38" s="21"/>
      <c r="P38" s="21"/>
      <c r="Q38" s="21"/>
      <c r="R38" s="21"/>
      <c r="S38" s="33"/>
      <c r="T38" s="33"/>
      <c r="U38" s="33"/>
      <c r="V38" s="33"/>
      <c r="W38" s="33"/>
      <c r="X38" s="33"/>
      <c r="Y38" s="33"/>
      <c r="Z38" s="33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</row>
    <row r="39" spans="1:44" ht="15.75" customHeight="1" x14ac:dyDescent="0.3">
      <c r="A39" s="22"/>
      <c r="B39" s="23"/>
      <c r="C39" s="21"/>
      <c r="D39" s="21"/>
      <c r="E39" s="21"/>
      <c r="F39" s="21"/>
      <c r="G39" s="21"/>
      <c r="H39" s="21"/>
      <c r="I39" s="21"/>
      <c r="J39" s="21"/>
      <c r="K39" s="33"/>
      <c r="L39" s="33"/>
      <c r="M39" s="21"/>
      <c r="N39" s="21"/>
      <c r="O39" s="21"/>
      <c r="P39" s="21"/>
      <c r="Q39" s="21"/>
      <c r="R39" s="21"/>
      <c r="S39" s="33"/>
      <c r="T39" s="33"/>
      <c r="U39" s="33"/>
      <c r="V39" s="33"/>
      <c r="W39" s="33"/>
      <c r="X39" s="33"/>
      <c r="Y39" s="33"/>
      <c r="Z39" s="33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</row>
    <row r="40" spans="1:44" ht="15.75" customHeight="1" x14ac:dyDescent="0.3">
      <c r="A40" s="20"/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</row>
    <row r="41" spans="1:44" ht="15.75" customHeight="1" x14ac:dyDescent="0.3">
      <c r="A41" s="25" t="s">
        <v>43</v>
      </c>
      <c r="B41" s="26"/>
      <c r="C41" s="26"/>
      <c r="D41" s="26"/>
      <c r="E41" s="27"/>
      <c r="F41" s="28">
        <f t="shared" ref="F41:J41" si="12">SUM(F36:F40)</f>
        <v>0</v>
      </c>
      <c r="G41" s="28">
        <f t="shared" si="12"/>
        <v>0</v>
      </c>
      <c r="H41" s="28">
        <f t="shared" si="12"/>
        <v>0</v>
      </c>
      <c r="I41" s="28">
        <f t="shared" si="12"/>
        <v>0</v>
      </c>
      <c r="J41" s="29">
        <f t="shared" si="12"/>
        <v>0</v>
      </c>
      <c r="K41" s="30"/>
      <c r="L41" s="26"/>
      <c r="M41" s="27"/>
      <c r="N41" s="31">
        <f t="shared" ref="N41:R41" si="13">SUM(N36:N40)</f>
        <v>0</v>
      </c>
      <c r="O41" s="31">
        <f t="shared" si="13"/>
        <v>0</v>
      </c>
      <c r="P41" s="31">
        <f t="shared" si="13"/>
        <v>0</v>
      </c>
      <c r="Q41" s="31">
        <f t="shared" si="13"/>
        <v>0</v>
      </c>
      <c r="R41" s="29">
        <f t="shared" si="13"/>
        <v>0</v>
      </c>
      <c r="S41" s="30"/>
      <c r="T41" s="26"/>
      <c r="U41" s="27"/>
      <c r="V41" s="31">
        <f t="shared" ref="V41:Z41" si="14">SUM(V36:V40)</f>
        <v>0</v>
      </c>
      <c r="W41" s="31">
        <f t="shared" si="14"/>
        <v>0</v>
      </c>
      <c r="X41" s="31">
        <f t="shared" si="14"/>
        <v>0</v>
      </c>
      <c r="Y41" s="32">
        <f t="shared" si="14"/>
        <v>0</v>
      </c>
      <c r="Z41" s="21">
        <f t="shared" si="14"/>
        <v>0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</row>
    <row r="42" spans="1:44" ht="15.75" customHeight="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</row>
    <row r="43" spans="1:44" ht="15.75" customHeight="1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</row>
    <row r="44" spans="1:44" ht="15.75" customHeight="1" x14ac:dyDescent="0.3">
      <c r="A44" s="11" t="s">
        <v>48</v>
      </c>
      <c r="B44" s="12" t="s">
        <v>28</v>
      </c>
      <c r="C44" s="13" t="s">
        <v>29</v>
      </c>
      <c r="D44" s="13" t="s">
        <v>30</v>
      </c>
      <c r="E44" s="13" t="s">
        <v>31</v>
      </c>
      <c r="F44" s="14" t="s">
        <v>32</v>
      </c>
      <c r="G44" s="14" t="s">
        <v>33</v>
      </c>
      <c r="H44" s="14" t="s">
        <v>34</v>
      </c>
      <c r="I44" s="14" t="s">
        <v>35</v>
      </c>
      <c r="J44" s="14" t="s">
        <v>36</v>
      </c>
      <c r="K44" s="15" t="s">
        <v>37</v>
      </c>
      <c r="L44" s="15" t="s">
        <v>38</v>
      </c>
      <c r="M44" s="15" t="s">
        <v>39</v>
      </c>
      <c r="N44" s="16" t="s">
        <v>32</v>
      </c>
      <c r="O44" s="16" t="s">
        <v>33</v>
      </c>
      <c r="P44" s="16" t="s">
        <v>34</v>
      </c>
      <c r="Q44" s="16" t="s">
        <v>35</v>
      </c>
      <c r="R44" s="16" t="s">
        <v>36</v>
      </c>
      <c r="S44" s="17" t="s">
        <v>40</v>
      </c>
      <c r="T44" s="17" t="s">
        <v>41</v>
      </c>
      <c r="U44" s="17" t="s">
        <v>42</v>
      </c>
      <c r="V44" s="18" t="s">
        <v>32</v>
      </c>
      <c r="W44" s="18" t="s">
        <v>33</v>
      </c>
      <c r="X44" s="18" t="s">
        <v>34</v>
      </c>
      <c r="Y44" s="19" t="s">
        <v>35</v>
      </c>
      <c r="Z44" s="18" t="s">
        <v>36</v>
      </c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</row>
    <row r="45" spans="1:44" ht="15.75" customHeight="1" x14ac:dyDescent="0.3">
      <c r="A45" s="20"/>
      <c r="B45" s="20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</row>
    <row r="46" spans="1:44" ht="15.75" customHeight="1" x14ac:dyDescent="0.3">
      <c r="A46" s="34"/>
      <c r="B46" s="34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</row>
    <row r="47" spans="1:44" ht="15.75" customHeight="1" x14ac:dyDescent="0.3">
      <c r="A47" s="20"/>
      <c r="B47" s="20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</row>
    <row r="48" spans="1:44" ht="15.75" customHeight="1" x14ac:dyDescent="0.3">
      <c r="A48" s="25" t="s">
        <v>43</v>
      </c>
      <c r="B48" s="26"/>
      <c r="C48" s="26"/>
      <c r="D48" s="26"/>
      <c r="E48" s="27"/>
      <c r="F48" s="28">
        <f t="shared" ref="F48:J48" si="15">SUM(F45:F47)</f>
        <v>0</v>
      </c>
      <c r="G48" s="28">
        <f t="shared" si="15"/>
        <v>0</v>
      </c>
      <c r="H48" s="28">
        <f t="shared" si="15"/>
        <v>0</v>
      </c>
      <c r="I48" s="28">
        <f t="shared" si="15"/>
        <v>0</v>
      </c>
      <c r="J48" s="29">
        <f t="shared" si="15"/>
        <v>0</v>
      </c>
      <c r="K48" s="30"/>
      <c r="L48" s="26"/>
      <c r="M48" s="27"/>
      <c r="N48" s="31">
        <f t="shared" ref="N48:R48" si="16">SUM(N45:N47)</f>
        <v>0</v>
      </c>
      <c r="O48" s="31">
        <f t="shared" si="16"/>
        <v>0</v>
      </c>
      <c r="P48" s="31">
        <f t="shared" si="16"/>
        <v>0</v>
      </c>
      <c r="Q48" s="31">
        <f t="shared" si="16"/>
        <v>0</v>
      </c>
      <c r="R48" s="29">
        <f t="shared" si="16"/>
        <v>0</v>
      </c>
      <c r="S48" s="30"/>
      <c r="T48" s="26"/>
      <c r="U48" s="27"/>
      <c r="V48" s="31">
        <f t="shared" ref="V48:Z48" si="17">SUM(V45:V47)</f>
        <v>0</v>
      </c>
      <c r="W48" s="31">
        <f t="shared" si="17"/>
        <v>0</v>
      </c>
      <c r="X48" s="31">
        <f t="shared" si="17"/>
        <v>0</v>
      </c>
      <c r="Y48" s="32">
        <f t="shared" si="17"/>
        <v>0</v>
      </c>
      <c r="Z48" s="21">
        <f t="shared" si="17"/>
        <v>0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</row>
    <row r="49" spans="1:44" ht="15.75" customHeight="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</row>
    <row r="50" spans="1:44" ht="15.75" customHeight="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</row>
    <row r="51" spans="1:44" ht="15.75" customHeight="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</row>
    <row r="52" spans="1:44" ht="15.75" customHeight="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</row>
    <row r="53" spans="1:44" ht="15.75" customHeight="1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</row>
    <row r="54" spans="1:44" ht="15.75" customHeight="1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</row>
    <row r="55" spans="1:44" ht="15.75" customHeight="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</row>
    <row r="56" spans="1:44" ht="15.75" customHeight="1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</row>
    <row r="57" spans="1:44" ht="15.75" customHeight="1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</row>
    <row r="58" spans="1:44" ht="15.75" customHeight="1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</row>
    <row r="59" spans="1:44" ht="15.75" customHeight="1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</row>
    <row r="60" spans="1:44" ht="15.75" customHeight="1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</row>
    <row r="61" spans="1:44" ht="15.75" customHeight="1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</row>
    <row r="62" spans="1:44" ht="15.75" customHeight="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</row>
    <row r="63" spans="1:44" ht="15.75" customHeight="1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</row>
    <row r="64" spans="1:44" ht="15.75" customHeight="1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</row>
    <row r="65" spans="1:44" ht="15.75" customHeight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</row>
    <row r="66" spans="1:44" ht="15.75" customHeight="1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</row>
    <row r="67" spans="1:44" ht="15.75" customHeight="1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</row>
    <row r="68" spans="1:44" ht="15.75" customHeight="1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</row>
    <row r="69" spans="1:44" ht="15.75" customHeight="1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</row>
    <row r="70" spans="1:44" ht="15.75" customHeight="1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</row>
    <row r="71" spans="1:44" ht="15.75" customHeight="1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</row>
    <row r="72" spans="1:44" ht="15.75" customHeight="1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</row>
    <row r="73" spans="1:44" ht="15.75" customHeight="1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</row>
    <row r="74" spans="1:44" ht="15.75" customHeight="1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</row>
    <row r="75" spans="1:44" ht="15.75" customHeight="1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</row>
    <row r="76" spans="1:44" ht="15.75" customHeight="1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</row>
    <row r="77" spans="1:44" ht="15.75" customHeight="1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</row>
    <row r="78" spans="1:44" ht="15.75" customHeight="1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</row>
    <row r="79" spans="1:44" ht="15.75" customHeight="1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</row>
    <row r="80" spans="1:44" ht="15.75" customHeight="1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</row>
    <row r="81" spans="1:44" ht="15.75" customHeight="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</row>
    <row r="82" spans="1:44" ht="15.75" customHeight="1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</row>
    <row r="83" spans="1:44" ht="15.75" customHeight="1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</row>
    <row r="84" spans="1:44" ht="15.75" customHeight="1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</row>
    <row r="85" spans="1:44" ht="15.75" customHeight="1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</row>
    <row r="86" spans="1:44" ht="15.75" customHeight="1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</row>
    <row r="87" spans="1:44" ht="15.75" customHeight="1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</row>
    <row r="88" spans="1:44" ht="15.75" customHeight="1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</row>
    <row r="89" spans="1:44" ht="15.75" customHeight="1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</row>
    <row r="90" spans="1:44" ht="15.75" customHeight="1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</row>
    <row r="91" spans="1:44" ht="15.75" customHeight="1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</row>
    <row r="92" spans="1:44" ht="15.75" customHeight="1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</row>
    <row r="93" spans="1:44" ht="15.75" customHeight="1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</row>
    <row r="94" spans="1:44" ht="15.75" customHeight="1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</row>
    <row r="95" spans="1:44" ht="15.75" customHeight="1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</row>
    <row r="96" spans="1:44" ht="15.75" customHeight="1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</row>
    <row r="97" spans="1:44" ht="15.75" customHeight="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</row>
    <row r="98" spans="1:44" ht="15.75" customHeight="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</row>
    <row r="99" spans="1:44" ht="15.75" customHeight="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</row>
    <row r="100" spans="1:44" ht="15.75" customHeight="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</row>
    <row r="101" spans="1:44" ht="15.75" customHeight="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</row>
    <row r="102" spans="1:44" ht="15.75" customHeight="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</row>
    <row r="103" spans="1:44" ht="15.75" customHeight="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</row>
    <row r="104" spans="1:44" ht="15.75" customHeight="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</row>
    <row r="105" spans="1:44" ht="15.75" customHeight="1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</row>
    <row r="106" spans="1:44" ht="15.75" customHeight="1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</row>
    <row r="107" spans="1:44" ht="15.75" customHeight="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</row>
    <row r="108" spans="1:44" ht="15.75" customHeight="1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</row>
    <row r="109" spans="1:44" ht="15.75" customHeight="1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</row>
    <row r="110" spans="1:44" ht="15.75" customHeight="1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</row>
    <row r="111" spans="1:44" ht="15.75" customHeight="1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</row>
    <row r="112" spans="1:44" ht="15.75" customHeight="1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</row>
    <row r="113" spans="1:44" ht="15.75" customHeight="1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</row>
    <row r="114" spans="1:44" ht="15.75" customHeight="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</row>
    <row r="115" spans="1:44" ht="15.75" customHeight="1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</row>
    <row r="116" spans="1:44" ht="15.75" customHeight="1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</row>
    <row r="117" spans="1:44" ht="15.75" customHeight="1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</row>
    <row r="118" spans="1:44" ht="15.75" customHeight="1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</row>
    <row r="119" spans="1:44" ht="15.75" customHeight="1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</row>
    <row r="120" spans="1:44" ht="15.75" customHeight="1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</row>
    <row r="121" spans="1:44" ht="15.75" customHeight="1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</row>
    <row r="122" spans="1:44" ht="15.75" customHeight="1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</row>
    <row r="123" spans="1:44" ht="15.75" customHeight="1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</row>
    <row r="124" spans="1:44" ht="15.75" customHeight="1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</row>
    <row r="125" spans="1:44" ht="15.75" customHeight="1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</row>
    <row r="126" spans="1:44" ht="15.75" customHeight="1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</row>
    <row r="127" spans="1:44" ht="15.75" customHeight="1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</row>
    <row r="128" spans="1:44" ht="15.75" customHeight="1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</row>
    <row r="129" spans="1:44" ht="15.75" customHeight="1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</row>
    <row r="130" spans="1:44" ht="15.75" customHeight="1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</row>
    <row r="131" spans="1:44" ht="15.75" customHeight="1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</row>
    <row r="132" spans="1:44" ht="15.75" customHeight="1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</row>
    <row r="133" spans="1:44" ht="15.75" customHeight="1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</row>
    <row r="134" spans="1:44" ht="15.75" customHeight="1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</row>
    <row r="135" spans="1:44" ht="15.75" customHeight="1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</row>
    <row r="136" spans="1:44" ht="15.75" customHeight="1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</row>
    <row r="137" spans="1:44" ht="15.75" customHeight="1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</row>
    <row r="138" spans="1:44" ht="15.75" customHeight="1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</row>
    <row r="139" spans="1:44" ht="15.75" customHeight="1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</row>
    <row r="140" spans="1:44" ht="15.75" customHeight="1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</row>
    <row r="141" spans="1:44" ht="15.75" customHeight="1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</row>
    <row r="142" spans="1:44" ht="15.75" customHeight="1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</row>
    <row r="143" spans="1:44" ht="15.75" customHeight="1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</row>
    <row r="144" spans="1:44" ht="15.75" customHeight="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</row>
    <row r="145" spans="1:44" ht="15.75" customHeight="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</row>
    <row r="146" spans="1:44" ht="15.75" customHeight="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</row>
    <row r="147" spans="1:44" ht="15.75" customHeight="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</row>
    <row r="148" spans="1:44" ht="15.75" customHeight="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</row>
    <row r="149" spans="1:44" ht="15.75" customHeight="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</row>
    <row r="150" spans="1:44" ht="15.75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</row>
    <row r="151" spans="1:44" ht="15.75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</row>
    <row r="152" spans="1:44" ht="15.75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</row>
    <row r="153" spans="1:44" ht="15.75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</row>
    <row r="154" spans="1:44" ht="15.75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</row>
    <row r="155" spans="1:44" ht="15.75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</row>
    <row r="156" spans="1:44" ht="15.75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</row>
    <row r="157" spans="1:44" ht="15.75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</row>
    <row r="158" spans="1:44" ht="15.75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</row>
    <row r="159" spans="1:44" ht="15.75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</row>
    <row r="160" spans="1:44" ht="15.75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</row>
    <row r="161" spans="1:44" ht="15.75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</row>
    <row r="162" spans="1:44" ht="15.75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</row>
    <row r="163" spans="1:44" ht="15.75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</row>
    <row r="164" spans="1:44" ht="15.75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</row>
    <row r="165" spans="1:44" ht="15.75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</row>
    <row r="166" spans="1:44" ht="15.75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</row>
    <row r="167" spans="1:44" ht="15.75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</row>
    <row r="168" spans="1:44" ht="15.75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</row>
    <row r="169" spans="1:44" ht="15.75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</row>
    <row r="170" spans="1:44" ht="15.75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</row>
    <row r="171" spans="1:44" ht="15.75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</row>
    <row r="172" spans="1:44" ht="15.75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</row>
    <row r="173" spans="1:44" ht="15.75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</row>
    <row r="174" spans="1:44" ht="15.75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</row>
    <row r="175" spans="1:44" ht="15.75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</row>
    <row r="176" spans="1:44" ht="15.75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</row>
    <row r="177" spans="1:44" ht="15.75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</row>
    <row r="178" spans="1:44" ht="15.75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</row>
    <row r="179" spans="1:44" ht="15.75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</row>
    <row r="180" spans="1:44" ht="15.75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</row>
    <row r="181" spans="1:44" ht="15.75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</row>
    <row r="182" spans="1:44" ht="15.75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</row>
    <row r="183" spans="1:44" ht="15.75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</row>
    <row r="184" spans="1:44" ht="15.75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</row>
    <row r="185" spans="1:44" ht="15.75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</row>
    <row r="186" spans="1:44" ht="15.75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</row>
    <row r="187" spans="1:44" ht="15.75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</row>
    <row r="188" spans="1:44" ht="15.75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</row>
    <row r="189" spans="1:44" ht="15.75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</row>
    <row r="190" spans="1:44" ht="15.75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</row>
    <row r="191" spans="1:44" ht="15.75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</row>
    <row r="192" spans="1:44" ht="15.75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</row>
    <row r="193" spans="1:44" ht="15.75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</row>
    <row r="194" spans="1:44" ht="15.75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</row>
    <row r="195" spans="1:44" ht="15.75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</row>
    <row r="196" spans="1:44" ht="15.75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</row>
    <row r="197" spans="1:44" ht="15.75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</row>
    <row r="198" spans="1:44" ht="15.75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</row>
    <row r="199" spans="1:44" ht="15.75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</row>
    <row r="200" spans="1:44" ht="15.75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</row>
    <row r="201" spans="1:44" ht="15.75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</row>
    <row r="202" spans="1:44" ht="15.75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</row>
    <row r="203" spans="1:44" ht="15.75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</row>
    <row r="204" spans="1:44" ht="15.75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</row>
    <row r="205" spans="1:44" ht="15.75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</row>
    <row r="206" spans="1:44" ht="15.75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</row>
    <row r="207" spans="1:44" ht="15.75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</row>
    <row r="208" spans="1:44" ht="15.75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</row>
    <row r="209" spans="1:44" ht="15.75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</row>
    <row r="210" spans="1:44" ht="15.75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</row>
    <row r="211" spans="1:44" ht="15.75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</row>
    <row r="212" spans="1:44" ht="15.75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</row>
    <row r="213" spans="1:44" ht="15.75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</row>
    <row r="214" spans="1:44" ht="15.75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</row>
    <row r="215" spans="1:44" ht="15.75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</row>
    <row r="216" spans="1:44" ht="15.75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</row>
    <row r="217" spans="1:44" ht="15.75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</row>
    <row r="218" spans="1:44" ht="15.75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</row>
    <row r="219" spans="1:44" ht="15.75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</row>
    <row r="220" spans="1:44" ht="15.75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</row>
    <row r="221" spans="1:44" ht="15.75" customHeight="1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</row>
    <row r="222" spans="1:44" ht="15.75" customHeight="1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</row>
    <row r="223" spans="1:44" ht="15.75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</row>
    <row r="224" spans="1:44" ht="15.75" customHeight="1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</row>
    <row r="225" spans="1:44" ht="15.75" customHeight="1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</row>
    <row r="226" spans="1:44" ht="15.75" customHeight="1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</row>
    <row r="227" spans="1:44" ht="15.75" customHeight="1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</row>
    <row r="228" spans="1:44" ht="15.75" customHeight="1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</row>
    <row r="229" spans="1:44" ht="15.75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</row>
    <row r="230" spans="1:44" ht="15.75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</row>
    <row r="231" spans="1:44" ht="15.75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</row>
    <row r="232" spans="1:44" ht="15.75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</row>
    <row r="233" spans="1:44" ht="15.7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</row>
    <row r="234" spans="1:44" ht="15.7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</row>
    <row r="235" spans="1:44" ht="15.7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</row>
    <row r="236" spans="1:44" ht="15.7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</row>
    <row r="237" spans="1:44" ht="15.7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</row>
    <row r="238" spans="1:44" ht="15.7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</row>
    <row r="239" spans="1:44" ht="15.7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</row>
    <row r="240" spans="1:44" ht="15.7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</row>
    <row r="241" spans="1:44" ht="15.7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</row>
    <row r="242" spans="1:44" ht="15.7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</row>
    <row r="243" spans="1:44" ht="15.7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</row>
    <row r="244" spans="1:44" ht="15.7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</row>
    <row r="245" spans="1:44" ht="15.7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</row>
    <row r="246" spans="1:44" ht="15.7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</row>
    <row r="247" spans="1:44" ht="15.7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</row>
    <row r="248" spans="1:44" ht="15.7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</row>
    <row r="249" spans="1:44" ht="15.75" customHeight="1" x14ac:dyDescent="0.25"/>
    <row r="250" spans="1:44" ht="15.75" customHeight="1" x14ac:dyDescent="0.25"/>
    <row r="251" spans="1:44" ht="15.75" customHeight="1" x14ac:dyDescent="0.25"/>
    <row r="252" spans="1:44" ht="15.75" customHeight="1" x14ac:dyDescent="0.25"/>
    <row r="253" spans="1:44" ht="15.75" customHeight="1" x14ac:dyDescent="0.25"/>
    <row r="254" spans="1:44" ht="15.75" customHeight="1" x14ac:dyDescent="0.25"/>
    <row r="255" spans="1:44" ht="15.75" customHeight="1" x14ac:dyDescent="0.25"/>
    <row r="256" spans="1:44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topLeftCell="A4" workbookViewId="0">
      <selection activeCell="G16" sqref="G16:I46"/>
    </sheetView>
  </sheetViews>
  <sheetFormatPr defaultColWidth="12.6640625" defaultRowHeight="15" customHeight="1" x14ac:dyDescent="0.25"/>
  <cols>
    <col min="1" max="1" width="19.6640625" customWidth="1"/>
    <col min="2" max="2" width="30.77734375" customWidth="1"/>
    <col min="3" max="3" width="9.21875" customWidth="1"/>
    <col min="4" max="4" width="9.44140625" customWidth="1"/>
    <col min="5" max="5" width="17.21875" customWidth="1"/>
    <col min="6" max="6" width="20.6640625" customWidth="1"/>
    <col min="7" max="7" width="26.33203125" customWidth="1"/>
    <col min="8" max="8" width="25.21875" customWidth="1"/>
    <col min="9" max="9" width="24.21875" customWidth="1"/>
  </cols>
  <sheetData>
    <row r="1" spans="1:26" ht="15.75" customHeight="1" x14ac:dyDescent="0.25">
      <c r="E1" s="36"/>
      <c r="F1" s="37"/>
    </row>
    <row r="2" spans="1:26" ht="15.75" customHeight="1" x14ac:dyDescent="0.25">
      <c r="A2" s="150"/>
      <c r="B2" s="151"/>
      <c r="C2" s="151"/>
      <c r="D2" s="151"/>
      <c r="E2" s="151"/>
      <c r="F2" s="151"/>
      <c r="G2" s="151"/>
    </row>
    <row r="3" spans="1:26" ht="15.75" customHeight="1" x14ac:dyDescent="0.25">
      <c r="A3" s="38"/>
      <c r="B3" s="38"/>
      <c r="C3" s="39"/>
      <c r="D3" s="38"/>
      <c r="E3" s="36"/>
      <c r="F3" s="37"/>
      <c r="G3" s="38"/>
      <c r="H3" s="38"/>
      <c r="I3" s="38"/>
      <c r="J3" s="38"/>
    </row>
    <row r="4" spans="1:26" ht="15.75" customHeight="1" x14ac:dyDescent="0.25">
      <c r="A4" s="152" t="s">
        <v>49</v>
      </c>
      <c r="B4" s="153"/>
      <c r="C4" s="154">
        <f>'SIKLUS MENU'!B3</f>
        <v>46223</v>
      </c>
      <c r="D4" s="153"/>
      <c r="E4" s="153"/>
      <c r="F4" s="153"/>
      <c r="G4" s="153"/>
      <c r="H4" s="38"/>
      <c r="I4" s="38"/>
      <c r="J4" s="38"/>
    </row>
    <row r="5" spans="1:26" ht="15.75" customHeight="1" x14ac:dyDescent="0.3">
      <c r="A5" s="40" t="s">
        <v>50</v>
      </c>
      <c r="B5" s="41">
        <f>C4-1</f>
        <v>46222</v>
      </c>
      <c r="C5" s="42"/>
      <c r="D5" s="43"/>
      <c r="E5" s="44"/>
      <c r="F5" s="45"/>
      <c r="G5" s="46"/>
      <c r="H5" s="38"/>
      <c r="I5" s="38"/>
      <c r="J5" s="38"/>
    </row>
    <row r="6" spans="1:26" ht="15.75" customHeight="1" x14ac:dyDescent="0.3">
      <c r="A6" s="40" t="s">
        <v>51</v>
      </c>
      <c r="B6" s="155" t="s">
        <v>52</v>
      </c>
      <c r="C6" s="153"/>
      <c r="D6" s="153"/>
      <c r="E6" s="153"/>
      <c r="F6" s="153"/>
      <c r="G6" s="156"/>
      <c r="H6" s="38"/>
      <c r="I6" s="38"/>
      <c r="J6" s="38"/>
    </row>
    <row r="7" spans="1:26" ht="15.75" customHeight="1" x14ac:dyDescent="0.3">
      <c r="A7" s="40" t="s">
        <v>53</v>
      </c>
      <c r="B7" s="157">
        <f>C4</f>
        <v>46223</v>
      </c>
      <c r="C7" s="153"/>
      <c r="D7" s="153"/>
      <c r="E7" s="153"/>
      <c r="F7" s="153"/>
      <c r="G7" s="156"/>
      <c r="H7" s="38"/>
      <c r="I7" s="38"/>
      <c r="J7" s="38"/>
    </row>
    <row r="8" spans="1:26" ht="15.75" customHeight="1" x14ac:dyDescent="0.3">
      <c r="A8" s="158" t="s">
        <v>54</v>
      </c>
      <c r="B8" s="47" t="s">
        <v>55</v>
      </c>
      <c r="C8" s="48">
        <v>643</v>
      </c>
      <c r="D8" s="49">
        <v>8000</v>
      </c>
      <c r="E8" s="50">
        <f t="shared" ref="E8:E9" si="0">D8*C8</f>
        <v>5144000</v>
      </c>
      <c r="F8" s="51"/>
      <c r="G8" s="52"/>
      <c r="H8" s="53"/>
      <c r="I8" s="53"/>
      <c r="J8" s="53"/>
    </row>
    <row r="9" spans="1:26" ht="15.75" customHeight="1" x14ac:dyDescent="0.3">
      <c r="A9" s="159"/>
      <c r="B9" s="54" t="s">
        <v>56</v>
      </c>
      <c r="C9" s="48">
        <v>506</v>
      </c>
      <c r="D9" s="55">
        <v>10000</v>
      </c>
      <c r="E9" s="50">
        <f t="shared" si="0"/>
        <v>5060000</v>
      </c>
      <c r="F9" s="56"/>
      <c r="G9" s="57"/>
      <c r="H9" s="53"/>
      <c r="I9" s="53"/>
      <c r="J9" s="53"/>
    </row>
    <row r="10" spans="1:26" ht="15.75" customHeight="1" x14ac:dyDescent="0.35">
      <c r="A10" s="58"/>
      <c r="B10" s="59" t="s">
        <v>57</v>
      </c>
      <c r="C10" s="160">
        <f>SUM(C8:C9)</f>
        <v>1149</v>
      </c>
      <c r="D10" s="153"/>
      <c r="E10" s="60">
        <f>SUM(E8:E9)</f>
        <v>10204000</v>
      </c>
      <c r="F10" s="56"/>
      <c r="G10" s="57"/>
      <c r="H10" s="53"/>
      <c r="I10" s="53"/>
      <c r="J10" s="53"/>
    </row>
    <row r="11" spans="1:26" ht="15.75" customHeight="1" x14ac:dyDescent="0.25">
      <c r="A11" s="166" t="s">
        <v>58</v>
      </c>
      <c r="B11" s="167"/>
      <c r="C11" s="167"/>
      <c r="D11" s="167"/>
      <c r="E11" s="167"/>
      <c r="F11" s="167"/>
      <c r="G11" s="168"/>
      <c r="H11" s="38"/>
      <c r="I11" s="38"/>
      <c r="J11" s="38"/>
    </row>
    <row r="12" spans="1:26" ht="15.75" customHeight="1" x14ac:dyDescent="0.25">
      <c r="A12" s="169"/>
      <c r="B12" s="170"/>
      <c r="C12" s="170"/>
      <c r="D12" s="170"/>
      <c r="E12" s="170"/>
      <c r="F12" s="170"/>
      <c r="G12" s="171"/>
      <c r="H12" s="38"/>
      <c r="I12" s="38"/>
      <c r="J12" s="38"/>
    </row>
    <row r="13" spans="1:26" ht="15.75" customHeight="1" x14ac:dyDescent="0.3">
      <c r="A13" s="61" t="s">
        <v>59</v>
      </c>
      <c r="B13" s="172"/>
      <c r="C13" s="151"/>
      <c r="D13" s="151"/>
      <c r="E13" s="151"/>
      <c r="F13" s="151"/>
      <c r="G13" s="173"/>
      <c r="H13" s="38"/>
      <c r="I13" s="38"/>
      <c r="J13" s="38"/>
    </row>
    <row r="14" spans="1:26" ht="15.75" customHeight="1" x14ac:dyDescent="0.25">
      <c r="A14" s="38"/>
      <c r="B14" s="38"/>
      <c r="C14" s="39"/>
      <c r="D14" s="38"/>
      <c r="E14" s="36"/>
      <c r="F14" s="37"/>
    </row>
    <row r="15" spans="1:26" ht="15.75" customHeight="1" x14ac:dyDescent="0.25">
      <c r="A15" s="174" t="s">
        <v>60</v>
      </c>
      <c r="B15" s="176" t="s">
        <v>61</v>
      </c>
      <c r="C15" s="178" t="s">
        <v>62</v>
      </c>
      <c r="D15" s="179" t="s">
        <v>63</v>
      </c>
      <c r="E15" s="161" t="s">
        <v>64</v>
      </c>
      <c r="F15" s="179" t="s">
        <v>65</v>
      </c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spans="1:26" ht="15.75" customHeight="1" x14ac:dyDescent="0.25">
      <c r="A16" s="175"/>
      <c r="B16" s="177"/>
      <c r="C16" s="162"/>
      <c r="D16" s="162"/>
      <c r="E16" s="162"/>
      <c r="F16" s="1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spans="1:9" ht="15.75" customHeight="1" x14ac:dyDescent="0.3">
      <c r="A17" s="63">
        <v>1</v>
      </c>
      <c r="B17" s="64" t="s">
        <v>66</v>
      </c>
      <c r="C17" s="65">
        <v>72</v>
      </c>
      <c r="D17" s="65" t="s">
        <v>67</v>
      </c>
      <c r="E17" s="66">
        <v>15500</v>
      </c>
      <c r="F17" s="67">
        <f t="shared" ref="F17:F44" si="1">C17*E17</f>
        <v>1116000</v>
      </c>
      <c r="G17" s="68"/>
      <c r="H17" s="68"/>
      <c r="I17" s="69"/>
    </row>
    <row r="18" spans="1:9" ht="15.75" customHeight="1" x14ac:dyDescent="0.3">
      <c r="A18" s="63">
        <v>2</v>
      </c>
      <c r="B18" s="70" t="s">
        <v>68</v>
      </c>
      <c r="C18" s="71">
        <v>5130</v>
      </c>
      <c r="D18" s="65" t="s">
        <v>69</v>
      </c>
      <c r="E18" s="72">
        <v>600</v>
      </c>
      <c r="F18" s="67">
        <f t="shared" si="1"/>
        <v>3078000</v>
      </c>
      <c r="G18" s="68"/>
      <c r="H18" s="68"/>
      <c r="I18" s="69"/>
    </row>
    <row r="19" spans="1:9" ht="15.75" customHeight="1" x14ac:dyDescent="0.3">
      <c r="A19" s="63">
        <v>3</v>
      </c>
      <c r="B19" s="73" t="s">
        <v>70</v>
      </c>
      <c r="C19" s="65">
        <v>2</v>
      </c>
      <c r="D19" s="65" t="s">
        <v>67</v>
      </c>
      <c r="E19" s="66">
        <v>14000</v>
      </c>
      <c r="F19" s="67">
        <f t="shared" si="1"/>
        <v>28000</v>
      </c>
      <c r="G19" s="68"/>
      <c r="H19" s="68"/>
      <c r="I19" s="69"/>
    </row>
    <row r="20" spans="1:9" ht="15.75" customHeight="1" x14ac:dyDescent="0.3">
      <c r="A20" s="63">
        <v>4</v>
      </c>
      <c r="B20" s="73" t="s">
        <v>71</v>
      </c>
      <c r="C20" s="65">
        <v>2</v>
      </c>
      <c r="D20" s="65" t="s">
        <v>67</v>
      </c>
      <c r="E20" s="66">
        <v>51000</v>
      </c>
      <c r="F20" s="67">
        <f t="shared" si="1"/>
        <v>102000</v>
      </c>
      <c r="G20" s="68"/>
      <c r="H20" s="68"/>
      <c r="I20" s="69"/>
    </row>
    <row r="21" spans="1:9" ht="15.75" customHeight="1" x14ac:dyDescent="0.3">
      <c r="A21" s="63">
        <v>5</v>
      </c>
      <c r="B21" s="73" t="s">
        <v>72</v>
      </c>
      <c r="C21" s="65">
        <v>1.5</v>
      </c>
      <c r="D21" s="71" t="s">
        <v>67</v>
      </c>
      <c r="E21" s="66">
        <v>44000</v>
      </c>
      <c r="F21" s="67">
        <f t="shared" si="1"/>
        <v>66000</v>
      </c>
      <c r="G21" s="68"/>
      <c r="H21" s="68"/>
      <c r="I21" s="69"/>
    </row>
    <row r="22" spans="1:9" ht="15.75" customHeight="1" x14ac:dyDescent="0.3">
      <c r="A22" s="63">
        <v>6</v>
      </c>
      <c r="B22" s="73" t="s">
        <v>73</v>
      </c>
      <c r="C22" s="65">
        <v>1.5</v>
      </c>
      <c r="D22" s="71" t="s">
        <v>67</v>
      </c>
      <c r="E22" s="66">
        <v>46000</v>
      </c>
      <c r="F22" s="67">
        <f t="shared" si="1"/>
        <v>69000</v>
      </c>
      <c r="G22" s="68"/>
      <c r="H22" s="68"/>
      <c r="I22" s="69"/>
    </row>
    <row r="23" spans="1:9" ht="15.75" customHeight="1" x14ac:dyDescent="0.3">
      <c r="A23" s="63">
        <v>7</v>
      </c>
      <c r="B23" s="73" t="s">
        <v>74</v>
      </c>
      <c r="C23" s="65">
        <v>0.25</v>
      </c>
      <c r="D23" s="71" t="s">
        <v>67</v>
      </c>
      <c r="E23" s="66">
        <v>17000</v>
      </c>
      <c r="F23" s="67">
        <f t="shared" si="1"/>
        <v>4250</v>
      </c>
      <c r="G23" s="68"/>
      <c r="H23" s="68"/>
      <c r="I23" s="69"/>
    </row>
    <row r="24" spans="1:9" ht="15.75" customHeight="1" x14ac:dyDescent="0.3">
      <c r="A24" s="63">
        <v>8</v>
      </c>
      <c r="B24" s="74" t="s">
        <v>75</v>
      </c>
      <c r="C24" s="65">
        <v>0.25</v>
      </c>
      <c r="D24" s="65" t="s">
        <v>67</v>
      </c>
      <c r="E24" s="66">
        <v>12000</v>
      </c>
      <c r="F24" s="67">
        <f t="shared" si="1"/>
        <v>3000</v>
      </c>
      <c r="G24" s="68"/>
      <c r="H24" s="68"/>
      <c r="I24" s="69"/>
    </row>
    <row r="25" spans="1:9" ht="15.75" customHeight="1" x14ac:dyDescent="0.3">
      <c r="A25" s="63">
        <v>9</v>
      </c>
      <c r="B25" s="73" t="s">
        <v>76</v>
      </c>
      <c r="C25" s="65">
        <v>2</v>
      </c>
      <c r="D25" s="65" t="s">
        <v>67</v>
      </c>
      <c r="E25" s="66">
        <v>27000</v>
      </c>
      <c r="F25" s="67">
        <f t="shared" si="1"/>
        <v>54000</v>
      </c>
      <c r="G25" s="68"/>
      <c r="H25" s="68"/>
      <c r="I25" s="69"/>
    </row>
    <row r="26" spans="1:9" ht="15.75" customHeight="1" x14ac:dyDescent="0.3">
      <c r="A26" s="63">
        <v>10</v>
      </c>
      <c r="B26" s="73" t="s">
        <v>77</v>
      </c>
      <c r="C26" s="65">
        <v>0.25</v>
      </c>
      <c r="D26" s="65" t="s">
        <v>67</v>
      </c>
      <c r="E26" s="66">
        <v>171000</v>
      </c>
      <c r="F26" s="67">
        <f t="shared" si="1"/>
        <v>42750</v>
      </c>
      <c r="G26" s="68"/>
      <c r="H26" s="68"/>
      <c r="I26" s="69"/>
    </row>
    <row r="27" spans="1:9" ht="15.75" customHeight="1" x14ac:dyDescent="0.3">
      <c r="A27" s="63">
        <v>11</v>
      </c>
      <c r="B27" s="73" t="s">
        <v>78</v>
      </c>
      <c r="C27" s="65">
        <v>0.25</v>
      </c>
      <c r="D27" s="65" t="s">
        <v>67</v>
      </c>
      <c r="E27" s="66">
        <v>36000</v>
      </c>
      <c r="F27" s="67">
        <f t="shared" si="1"/>
        <v>9000</v>
      </c>
      <c r="G27" s="68"/>
      <c r="H27" s="68"/>
      <c r="I27" s="69"/>
    </row>
    <row r="28" spans="1:9" ht="15.75" customHeight="1" x14ac:dyDescent="0.3">
      <c r="A28" s="63">
        <v>12</v>
      </c>
      <c r="B28" s="73" t="s">
        <v>79</v>
      </c>
      <c r="C28" s="65">
        <v>0.25</v>
      </c>
      <c r="D28" s="65" t="s">
        <v>67</v>
      </c>
      <c r="E28" s="66">
        <v>51000</v>
      </c>
      <c r="F28" s="67">
        <f t="shared" si="1"/>
        <v>12750</v>
      </c>
      <c r="G28" s="68"/>
      <c r="H28" s="68"/>
      <c r="I28" s="69"/>
    </row>
    <row r="29" spans="1:9" ht="15.75" customHeight="1" x14ac:dyDescent="0.3">
      <c r="A29" s="63">
        <v>13</v>
      </c>
      <c r="B29" s="75" t="s">
        <v>80</v>
      </c>
      <c r="C29" s="65">
        <v>20</v>
      </c>
      <c r="D29" s="65" t="s">
        <v>67</v>
      </c>
      <c r="E29" s="66">
        <v>36000</v>
      </c>
      <c r="F29" s="67">
        <f t="shared" si="1"/>
        <v>720000</v>
      </c>
      <c r="G29" s="68"/>
      <c r="H29" s="68"/>
      <c r="I29" s="69"/>
    </row>
    <row r="30" spans="1:9" ht="15.75" customHeight="1" x14ac:dyDescent="0.3">
      <c r="A30" s="63">
        <v>14</v>
      </c>
      <c r="B30" s="73" t="s">
        <v>81</v>
      </c>
      <c r="C30" s="65">
        <v>15</v>
      </c>
      <c r="D30" s="65" t="s">
        <v>67</v>
      </c>
      <c r="E30" s="66">
        <v>17000</v>
      </c>
      <c r="F30" s="67">
        <f t="shared" si="1"/>
        <v>255000</v>
      </c>
      <c r="G30" s="68"/>
      <c r="H30" s="68"/>
      <c r="I30" s="69"/>
    </row>
    <row r="31" spans="1:9" ht="15.75" customHeight="1" x14ac:dyDescent="0.3">
      <c r="A31" s="63">
        <v>15</v>
      </c>
      <c r="B31" s="73" t="s">
        <v>82</v>
      </c>
      <c r="C31" s="65">
        <v>20</v>
      </c>
      <c r="D31" s="65" t="s">
        <v>67</v>
      </c>
      <c r="E31" s="66">
        <v>16000</v>
      </c>
      <c r="F31" s="67">
        <f t="shared" si="1"/>
        <v>320000</v>
      </c>
      <c r="G31" s="68"/>
      <c r="H31" s="68"/>
      <c r="I31" s="69"/>
    </row>
    <row r="32" spans="1:9" ht="15.75" customHeight="1" x14ac:dyDescent="0.3">
      <c r="A32" s="63">
        <v>16</v>
      </c>
      <c r="B32" s="73" t="s">
        <v>83</v>
      </c>
      <c r="C32" s="65">
        <v>1</v>
      </c>
      <c r="D32" s="65" t="s">
        <v>67</v>
      </c>
      <c r="E32" s="66">
        <v>90000</v>
      </c>
      <c r="F32" s="67">
        <f t="shared" si="1"/>
        <v>90000</v>
      </c>
      <c r="G32" s="68"/>
      <c r="H32" s="68"/>
      <c r="I32" s="69"/>
    </row>
    <row r="33" spans="1:10" ht="15.75" customHeight="1" x14ac:dyDescent="0.3">
      <c r="A33" s="63">
        <v>17</v>
      </c>
      <c r="B33" s="73" t="s">
        <v>84</v>
      </c>
      <c r="C33" s="65">
        <v>1</v>
      </c>
      <c r="D33" s="65" t="s">
        <v>67</v>
      </c>
      <c r="E33" s="66">
        <v>20000</v>
      </c>
      <c r="F33" s="67">
        <f t="shared" si="1"/>
        <v>20000</v>
      </c>
      <c r="G33" s="68"/>
      <c r="H33" s="68"/>
      <c r="I33" s="69"/>
    </row>
    <row r="34" spans="1:10" ht="15.75" customHeight="1" x14ac:dyDescent="0.3">
      <c r="A34" s="63">
        <v>18</v>
      </c>
      <c r="B34" s="76" t="s">
        <v>85</v>
      </c>
      <c r="C34" s="65">
        <v>3</v>
      </c>
      <c r="D34" s="77" t="s">
        <v>86</v>
      </c>
      <c r="E34" s="66">
        <v>241000</v>
      </c>
      <c r="F34" s="67">
        <f t="shared" si="1"/>
        <v>723000</v>
      </c>
      <c r="G34" s="68"/>
      <c r="H34" s="68"/>
      <c r="I34" s="69"/>
    </row>
    <row r="35" spans="1:10" ht="15.75" customHeight="1" x14ac:dyDescent="0.3">
      <c r="A35" s="63">
        <v>19</v>
      </c>
      <c r="B35" s="78" t="s">
        <v>87</v>
      </c>
      <c r="C35" s="65">
        <v>87</v>
      </c>
      <c r="D35" s="77" t="s">
        <v>67</v>
      </c>
      <c r="E35" s="66">
        <v>20000</v>
      </c>
      <c r="F35" s="67">
        <f t="shared" si="1"/>
        <v>1740000</v>
      </c>
      <c r="G35" s="68"/>
      <c r="H35" s="68"/>
      <c r="I35" s="69"/>
    </row>
    <row r="36" spans="1:10" ht="15.75" customHeight="1" x14ac:dyDescent="0.3">
      <c r="A36" s="63">
        <v>20</v>
      </c>
      <c r="B36" s="6" t="s">
        <v>88</v>
      </c>
      <c r="C36" s="65">
        <v>8</v>
      </c>
      <c r="D36" s="77" t="s">
        <v>67</v>
      </c>
      <c r="E36" s="66">
        <v>15000</v>
      </c>
      <c r="F36" s="67">
        <f t="shared" si="1"/>
        <v>120000</v>
      </c>
      <c r="G36" s="68"/>
      <c r="H36" s="68"/>
      <c r="I36" s="69"/>
    </row>
    <row r="37" spans="1:10" ht="15.75" customHeight="1" x14ac:dyDescent="0.3">
      <c r="A37" s="63">
        <v>21</v>
      </c>
      <c r="B37" s="6" t="s">
        <v>89</v>
      </c>
      <c r="C37" s="65">
        <v>1</v>
      </c>
      <c r="D37" s="77" t="s">
        <v>67</v>
      </c>
      <c r="E37" s="66">
        <v>66000</v>
      </c>
      <c r="F37" s="67">
        <f t="shared" si="1"/>
        <v>66000</v>
      </c>
      <c r="G37" s="68"/>
      <c r="H37" s="68"/>
      <c r="I37" s="69"/>
    </row>
    <row r="38" spans="1:10" ht="15.75" customHeight="1" x14ac:dyDescent="0.3">
      <c r="A38" s="63">
        <v>22</v>
      </c>
      <c r="B38" s="6" t="s">
        <v>90</v>
      </c>
      <c r="C38" s="65">
        <v>3</v>
      </c>
      <c r="D38" s="77" t="s">
        <v>67</v>
      </c>
      <c r="E38" s="66">
        <v>35000</v>
      </c>
      <c r="F38" s="67">
        <f t="shared" si="1"/>
        <v>105000</v>
      </c>
      <c r="G38" s="68"/>
      <c r="H38" s="68"/>
      <c r="I38" s="69"/>
    </row>
    <row r="39" spans="1:10" ht="15.75" customHeight="1" x14ac:dyDescent="0.3">
      <c r="A39" s="63">
        <v>23</v>
      </c>
      <c r="B39" s="6" t="s">
        <v>91</v>
      </c>
      <c r="C39" s="65">
        <v>5</v>
      </c>
      <c r="D39" s="77" t="s">
        <v>67</v>
      </c>
      <c r="E39" s="66">
        <v>10000</v>
      </c>
      <c r="F39" s="67">
        <f t="shared" si="1"/>
        <v>50000</v>
      </c>
      <c r="G39" s="68"/>
      <c r="H39" s="68"/>
      <c r="I39" s="69"/>
    </row>
    <row r="40" spans="1:10" ht="15.75" customHeight="1" x14ac:dyDescent="0.3">
      <c r="A40" s="63">
        <v>24</v>
      </c>
      <c r="B40" s="6" t="s">
        <v>92</v>
      </c>
      <c r="C40" s="65">
        <v>3</v>
      </c>
      <c r="D40" s="77" t="s">
        <v>67</v>
      </c>
      <c r="E40" s="66">
        <v>39000</v>
      </c>
      <c r="F40" s="67">
        <f t="shared" si="1"/>
        <v>117000</v>
      </c>
      <c r="G40" s="68"/>
      <c r="H40" s="68"/>
      <c r="I40" s="69"/>
    </row>
    <row r="41" spans="1:10" ht="15.75" customHeight="1" x14ac:dyDescent="0.3">
      <c r="A41" s="63">
        <v>25</v>
      </c>
      <c r="B41" s="79"/>
      <c r="C41" s="80"/>
      <c r="D41" s="81"/>
      <c r="E41" s="82"/>
      <c r="F41" s="67">
        <f t="shared" si="1"/>
        <v>0</v>
      </c>
      <c r="G41" s="68"/>
      <c r="H41" s="68"/>
      <c r="I41" s="69"/>
    </row>
    <row r="42" spans="1:10" ht="15.75" customHeight="1" x14ac:dyDescent="0.3">
      <c r="A42" s="63">
        <v>26</v>
      </c>
      <c r="B42" s="79"/>
      <c r="C42" s="80"/>
      <c r="D42" s="81"/>
      <c r="E42" s="82"/>
      <c r="F42" s="67">
        <f t="shared" si="1"/>
        <v>0</v>
      </c>
      <c r="G42" s="68"/>
      <c r="H42" s="68"/>
      <c r="I42" s="69"/>
    </row>
    <row r="43" spans="1:10" ht="15.75" customHeight="1" x14ac:dyDescent="0.3">
      <c r="A43" s="63">
        <v>27</v>
      </c>
      <c r="B43" s="79"/>
      <c r="C43" s="80"/>
      <c r="D43" s="81"/>
      <c r="E43" s="82"/>
      <c r="F43" s="67">
        <f t="shared" si="1"/>
        <v>0</v>
      </c>
      <c r="G43" s="68"/>
      <c r="H43" s="68"/>
      <c r="I43" s="69"/>
    </row>
    <row r="44" spans="1:10" ht="15.75" customHeight="1" x14ac:dyDescent="0.3">
      <c r="A44" s="63">
        <v>28</v>
      </c>
      <c r="B44" s="79"/>
      <c r="C44" s="80"/>
      <c r="D44" s="81"/>
      <c r="E44" s="82"/>
      <c r="F44" s="67">
        <f t="shared" si="1"/>
        <v>0</v>
      </c>
      <c r="G44" s="68"/>
      <c r="H44" s="68"/>
      <c r="I44" s="69"/>
    </row>
    <row r="45" spans="1:10" ht="15.75" customHeight="1" x14ac:dyDescent="0.3">
      <c r="A45" s="163" t="s">
        <v>93</v>
      </c>
      <c r="B45" s="164"/>
      <c r="C45" s="164"/>
      <c r="D45" s="164"/>
      <c r="E45" s="165"/>
      <c r="F45" s="83">
        <f>SUM(F17:F44)</f>
        <v>8910750</v>
      </c>
      <c r="G45" s="68"/>
      <c r="H45" s="68"/>
      <c r="I45" s="69"/>
    </row>
    <row r="46" spans="1:10" ht="15.75" customHeight="1" x14ac:dyDescent="0.25">
      <c r="A46" s="38"/>
      <c r="B46" s="38"/>
      <c r="C46" s="39"/>
      <c r="D46" s="38"/>
      <c r="E46" s="36"/>
      <c r="F46" s="37"/>
      <c r="G46" s="38"/>
      <c r="H46" s="38"/>
      <c r="J46" s="38"/>
    </row>
    <row r="47" spans="1:10" ht="15.75" customHeight="1" x14ac:dyDescent="0.25">
      <c r="A47" s="38"/>
      <c r="F47" s="37"/>
      <c r="G47" s="38"/>
      <c r="H47" s="38"/>
      <c r="I47" s="38"/>
      <c r="J47" s="38"/>
    </row>
    <row r="48" spans="1:10" ht="15.75" customHeight="1" x14ac:dyDescent="0.25">
      <c r="A48" s="38"/>
      <c r="B48" s="38"/>
      <c r="C48" s="39"/>
      <c r="D48" s="38"/>
      <c r="E48" s="36"/>
      <c r="F48" s="37"/>
      <c r="G48" s="38"/>
      <c r="H48" s="38"/>
      <c r="I48" s="38"/>
      <c r="J48" s="38"/>
    </row>
    <row r="49" spans="1:10" ht="15.75" customHeight="1" x14ac:dyDescent="0.25">
      <c r="A49" s="38"/>
      <c r="B49" s="38"/>
      <c r="C49" s="39"/>
      <c r="D49" s="38"/>
      <c r="E49" s="36"/>
      <c r="F49" s="37"/>
      <c r="G49" s="38"/>
      <c r="H49" s="38"/>
      <c r="I49" s="38"/>
      <c r="J49" s="38"/>
    </row>
    <row r="50" spans="1:10" ht="15.75" customHeight="1" x14ac:dyDescent="0.25">
      <c r="A50" s="38"/>
      <c r="B50" s="38"/>
      <c r="C50" s="39"/>
      <c r="D50" s="38"/>
      <c r="E50" s="36"/>
      <c r="F50" s="37"/>
      <c r="G50" s="38"/>
      <c r="H50" s="38"/>
      <c r="I50" s="38"/>
      <c r="J50" s="38"/>
    </row>
    <row r="51" spans="1:10" ht="15.75" customHeight="1" x14ac:dyDescent="0.25">
      <c r="A51" s="38"/>
      <c r="B51" s="38"/>
      <c r="C51" s="39"/>
      <c r="D51" s="38"/>
      <c r="E51" s="36"/>
      <c r="F51" s="37"/>
      <c r="G51" s="38"/>
      <c r="H51" s="38"/>
      <c r="I51" s="38"/>
      <c r="J51" s="38"/>
    </row>
    <row r="52" spans="1:10" ht="15.75" customHeight="1" x14ac:dyDescent="0.25">
      <c r="A52" s="38"/>
      <c r="B52" s="38"/>
      <c r="C52" s="39"/>
      <c r="D52" s="38"/>
      <c r="E52" s="36"/>
      <c r="F52" s="37"/>
      <c r="G52" s="38"/>
      <c r="H52" s="38"/>
      <c r="I52" s="38"/>
      <c r="J52" s="38"/>
    </row>
    <row r="53" spans="1:10" ht="15.75" customHeight="1" x14ac:dyDescent="0.25">
      <c r="A53" s="38"/>
      <c r="B53" s="38"/>
      <c r="C53" s="39"/>
      <c r="D53" s="38"/>
      <c r="E53" s="36"/>
      <c r="F53" s="37"/>
      <c r="G53" s="38"/>
      <c r="H53" s="38"/>
      <c r="I53" s="38"/>
      <c r="J53" s="38"/>
    </row>
    <row r="54" spans="1:10" ht="15.75" customHeight="1" x14ac:dyDescent="0.25">
      <c r="A54" s="38"/>
      <c r="B54" s="38"/>
      <c r="C54" s="39"/>
      <c r="D54" s="38"/>
      <c r="E54" s="36"/>
      <c r="F54" s="37"/>
      <c r="G54" s="38"/>
      <c r="H54" s="38"/>
      <c r="I54" s="38"/>
      <c r="J54" s="38"/>
    </row>
    <row r="55" spans="1:10" ht="15.75" customHeight="1" x14ac:dyDescent="0.25">
      <c r="A55" s="38"/>
      <c r="B55" s="38"/>
      <c r="C55" s="39"/>
      <c r="D55" s="38"/>
      <c r="E55" s="36"/>
      <c r="F55" s="37"/>
      <c r="G55" s="38"/>
      <c r="H55" s="38"/>
      <c r="I55" s="38"/>
      <c r="J55" s="38"/>
    </row>
    <row r="56" spans="1:10" ht="15.75" customHeight="1" x14ac:dyDescent="0.25">
      <c r="A56" s="38"/>
      <c r="B56" s="38"/>
      <c r="C56" s="39"/>
      <c r="D56" s="38"/>
      <c r="E56" s="36"/>
      <c r="F56" s="37"/>
      <c r="G56" s="38"/>
      <c r="H56" s="38"/>
      <c r="I56" s="38"/>
      <c r="J56" s="38"/>
    </row>
    <row r="57" spans="1:10" ht="15.75" customHeight="1" x14ac:dyDescent="0.25">
      <c r="A57" s="38"/>
      <c r="B57" s="38"/>
      <c r="C57" s="39"/>
      <c r="D57" s="38"/>
      <c r="E57" s="36"/>
      <c r="F57" s="37"/>
      <c r="G57" s="38"/>
      <c r="H57" s="38"/>
      <c r="I57" s="38"/>
      <c r="J57" s="38"/>
    </row>
    <row r="58" spans="1:10" ht="15.75" customHeight="1" x14ac:dyDescent="0.25">
      <c r="A58" s="38"/>
      <c r="B58" s="38"/>
      <c r="C58" s="39"/>
      <c r="D58" s="38"/>
      <c r="E58" s="36"/>
      <c r="F58" s="37"/>
      <c r="G58" s="38"/>
      <c r="H58" s="38"/>
      <c r="I58" s="38"/>
      <c r="J58" s="38"/>
    </row>
    <row r="59" spans="1:10" ht="15.75" customHeight="1" x14ac:dyDescent="0.25">
      <c r="A59" s="38"/>
      <c r="B59" s="38"/>
      <c r="C59" s="39"/>
      <c r="D59" s="38"/>
      <c r="E59" s="36"/>
      <c r="F59" s="37"/>
      <c r="G59" s="38"/>
      <c r="H59" s="38"/>
      <c r="I59" s="38"/>
      <c r="J59" s="38"/>
    </row>
    <row r="60" spans="1:10" ht="15.75" customHeight="1" x14ac:dyDescent="0.25">
      <c r="A60" s="38"/>
      <c r="B60" s="38"/>
      <c r="C60" s="39"/>
      <c r="D60" s="38"/>
      <c r="E60" s="36"/>
      <c r="F60" s="37"/>
      <c r="G60" s="38"/>
      <c r="H60" s="38"/>
      <c r="I60" s="38"/>
      <c r="J60" s="38"/>
    </row>
    <row r="61" spans="1:10" ht="15.75" customHeight="1" x14ac:dyDescent="0.25">
      <c r="A61" s="38"/>
      <c r="B61" s="38"/>
      <c r="C61" s="39"/>
      <c r="D61" s="38"/>
      <c r="E61" s="36"/>
      <c r="F61" s="37"/>
      <c r="G61" s="38"/>
      <c r="H61" s="38"/>
      <c r="I61" s="38"/>
      <c r="J61" s="38"/>
    </row>
    <row r="62" spans="1:10" ht="15.75" customHeight="1" x14ac:dyDescent="0.25">
      <c r="A62" s="38"/>
      <c r="B62" s="38"/>
      <c r="C62" s="39"/>
      <c r="D62" s="38"/>
      <c r="E62" s="36"/>
      <c r="F62" s="37"/>
      <c r="G62" s="38"/>
      <c r="H62" s="38"/>
      <c r="I62" s="38"/>
      <c r="J62" s="38"/>
    </row>
    <row r="63" spans="1:10" ht="15.75" customHeight="1" x14ac:dyDescent="0.25">
      <c r="A63" s="38"/>
      <c r="B63" s="38"/>
      <c r="C63" s="39"/>
      <c r="D63" s="38"/>
      <c r="E63" s="36"/>
      <c r="F63" s="37"/>
      <c r="G63" s="38"/>
      <c r="H63" s="38"/>
      <c r="I63" s="38"/>
      <c r="J63" s="38"/>
    </row>
    <row r="64" spans="1:10" ht="15.75" customHeight="1" x14ac:dyDescent="0.25">
      <c r="A64" s="38"/>
      <c r="B64" s="38"/>
      <c r="C64" s="39"/>
      <c r="D64" s="38"/>
      <c r="E64" s="36"/>
      <c r="F64" s="37"/>
      <c r="G64" s="38"/>
      <c r="H64" s="38"/>
      <c r="I64" s="38"/>
      <c r="J64" s="38"/>
    </row>
    <row r="65" spans="1:10" ht="15.75" customHeight="1" x14ac:dyDescent="0.25">
      <c r="A65" s="38"/>
      <c r="B65" s="38"/>
      <c r="C65" s="39"/>
      <c r="D65" s="38"/>
      <c r="E65" s="36"/>
      <c r="F65" s="37"/>
      <c r="G65" s="38"/>
      <c r="H65" s="38"/>
      <c r="I65" s="38"/>
      <c r="J65" s="38"/>
    </row>
    <row r="66" spans="1:10" ht="15.75" customHeight="1" x14ac:dyDescent="0.25">
      <c r="A66" s="38"/>
      <c r="B66" s="38"/>
      <c r="C66" s="39"/>
      <c r="D66" s="38"/>
      <c r="E66" s="36"/>
      <c r="F66" s="37"/>
      <c r="G66" s="38"/>
      <c r="H66" s="38"/>
      <c r="I66" s="38"/>
      <c r="J66" s="38"/>
    </row>
    <row r="67" spans="1:10" ht="15.75" customHeight="1" x14ac:dyDescent="0.25">
      <c r="A67" s="38"/>
      <c r="B67" s="38"/>
      <c r="C67" s="39"/>
      <c r="D67" s="38"/>
      <c r="E67" s="36"/>
      <c r="F67" s="37"/>
      <c r="G67" s="38"/>
      <c r="H67" s="38"/>
      <c r="I67" s="38"/>
      <c r="J67" s="38"/>
    </row>
    <row r="68" spans="1:10" ht="15.75" customHeight="1" x14ac:dyDescent="0.25">
      <c r="A68" s="38"/>
      <c r="B68" s="38"/>
      <c r="C68" s="39"/>
      <c r="D68" s="38"/>
      <c r="E68" s="36"/>
      <c r="F68" s="37"/>
      <c r="G68" s="38"/>
      <c r="H68" s="38"/>
      <c r="I68" s="38"/>
      <c r="J68" s="38"/>
    </row>
    <row r="69" spans="1:10" ht="15.75" customHeight="1" x14ac:dyDescent="0.25">
      <c r="A69" s="38"/>
      <c r="B69" s="38"/>
      <c r="C69" s="39"/>
      <c r="D69" s="38"/>
      <c r="E69" s="36"/>
      <c r="F69" s="37"/>
      <c r="G69" s="38"/>
      <c r="H69" s="38"/>
      <c r="I69" s="38"/>
      <c r="J69" s="38"/>
    </row>
    <row r="70" spans="1:10" ht="15.75" customHeight="1" x14ac:dyDescent="0.25">
      <c r="A70" s="38"/>
      <c r="B70" s="38"/>
      <c r="C70" s="39"/>
      <c r="D70" s="38"/>
      <c r="E70" s="36"/>
      <c r="F70" s="37"/>
      <c r="G70" s="38"/>
      <c r="H70" s="38"/>
      <c r="I70" s="38"/>
      <c r="J70" s="38"/>
    </row>
    <row r="71" spans="1:10" ht="15.75" customHeight="1" x14ac:dyDescent="0.25">
      <c r="A71" s="38"/>
      <c r="B71" s="38"/>
      <c r="C71" s="39"/>
      <c r="D71" s="38"/>
      <c r="E71" s="36"/>
      <c r="F71" s="37"/>
      <c r="G71" s="38"/>
      <c r="H71" s="38"/>
      <c r="I71" s="38"/>
      <c r="J71" s="38"/>
    </row>
    <row r="72" spans="1:10" ht="15.75" customHeight="1" x14ac:dyDescent="0.25">
      <c r="A72" s="38"/>
      <c r="B72" s="38"/>
      <c r="C72" s="39"/>
      <c r="D72" s="38"/>
      <c r="E72" s="36"/>
      <c r="F72" s="37"/>
      <c r="G72" s="38"/>
      <c r="H72" s="38"/>
      <c r="I72" s="38"/>
      <c r="J72" s="38"/>
    </row>
    <row r="73" spans="1:10" ht="15.75" customHeight="1" x14ac:dyDescent="0.25">
      <c r="A73" s="38"/>
      <c r="B73" s="38"/>
      <c r="C73" s="39"/>
      <c r="D73" s="38"/>
      <c r="E73" s="36"/>
      <c r="F73" s="37"/>
      <c r="G73" s="38"/>
      <c r="H73" s="38"/>
      <c r="I73" s="38"/>
      <c r="J73" s="38"/>
    </row>
    <row r="74" spans="1:10" ht="15.75" customHeight="1" x14ac:dyDescent="0.25">
      <c r="A74" s="38"/>
      <c r="B74" s="38"/>
      <c r="C74" s="39"/>
      <c r="D74" s="38"/>
      <c r="E74" s="36"/>
      <c r="F74" s="37"/>
      <c r="G74" s="38"/>
      <c r="H74" s="38"/>
      <c r="I74" s="38"/>
      <c r="J74" s="38"/>
    </row>
    <row r="75" spans="1:10" ht="15.75" customHeight="1" x14ac:dyDescent="0.25">
      <c r="A75" s="38"/>
      <c r="B75" s="38"/>
      <c r="C75" s="39"/>
      <c r="D75" s="38"/>
      <c r="E75" s="36"/>
      <c r="F75" s="37"/>
      <c r="G75" s="38"/>
      <c r="H75" s="38"/>
      <c r="I75" s="38"/>
      <c r="J75" s="38"/>
    </row>
    <row r="76" spans="1:10" ht="15.75" customHeight="1" x14ac:dyDescent="0.25">
      <c r="A76" s="38"/>
      <c r="B76" s="38"/>
      <c r="C76" s="39"/>
      <c r="D76" s="38"/>
      <c r="E76" s="36"/>
      <c r="F76" s="37"/>
      <c r="G76" s="38"/>
      <c r="H76" s="38"/>
      <c r="I76" s="38"/>
      <c r="J76" s="38"/>
    </row>
    <row r="77" spans="1:10" ht="15.75" customHeight="1" x14ac:dyDescent="0.25">
      <c r="A77" s="38"/>
      <c r="B77" s="38"/>
      <c r="C77" s="39"/>
      <c r="D77" s="38"/>
      <c r="E77" s="36"/>
      <c r="F77" s="37"/>
      <c r="G77" s="38"/>
      <c r="H77" s="38"/>
      <c r="I77" s="38"/>
      <c r="J77" s="38"/>
    </row>
    <row r="78" spans="1:10" ht="15.75" customHeight="1" x14ac:dyDescent="0.25">
      <c r="A78" s="38"/>
      <c r="B78" s="38"/>
      <c r="C78" s="39"/>
      <c r="D78" s="38"/>
      <c r="E78" s="36"/>
      <c r="F78" s="37"/>
      <c r="G78" s="38"/>
      <c r="H78" s="38"/>
      <c r="I78" s="38"/>
      <c r="J78" s="38"/>
    </row>
    <row r="79" spans="1:10" ht="15.75" customHeight="1" x14ac:dyDescent="0.25">
      <c r="A79" s="38"/>
      <c r="B79" s="38"/>
      <c r="C79" s="39"/>
      <c r="D79" s="38"/>
      <c r="E79" s="36"/>
      <c r="F79" s="37"/>
      <c r="G79" s="38"/>
      <c r="H79" s="38"/>
      <c r="I79" s="38"/>
      <c r="J79" s="38"/>
    </row>
    <row r="80" spans="1:10" ht="15.75" customHeight="1" x14ac:dyDescent="0.25">
      <c r="A80" s="38"/>
      <c r="B80" s="38"/>
      <c r="C80" s="39"/>
      <c r="D80" s="38"/>
      <c r="E80" s="36"/>
      <c r="F80" s="37"/>
      <c r="G80" s="38"/>
      <c r="H80" s="38"/>
      <c r="I80" s="38"/>
      <c r="J80" s="38"/>
    </row>
    <row r="81" spans="1:10" ht="15.75" customHeight="1" x14ac:dyDescent="0.25">
      <c r="A81" s="38"/>
      <c r="B81" s="38"/>
      <c r="C81" s="39"/>
      <c r="D81" s="38"/>
      <c r="E81" s="36"/>
      <c r="F81" s="37"/>
      <c r="G81" s="38"/>
      <c r="H81" s="38"/>
      <c r="I81" s="38"/>
      <c r="J81" s="38"/>
    </row>
    <row r="82" spans="1:10" ht="15.75" customHeight="1" x14ac:dyDescent="0.25">
      <c r="A82" s="38"/>
      <c r="B82" s="38"/>
      <c r="C82" s="39"/>
      <c r="D82" s="38"/>
      <c r="E82" s="36"/>
      <c r="F82" s="37"/>
      <c r="G82" s="38"/>
      <c r="H82" s="38"/>
      <c r="I82" s="38"/>
      <c r="J82" s="38"/>
    </row>
    <row r="83" spans="1:10" ht="15.75" customHeight="1" x14ac:dyDescent="0.25">
      <c r="A83" s="38"/>
      <c r="B83" s="38"/>
      <c r="C83" s="39"/>
      <c r="D83" s="38"/>
      <c r="E83" s="36"/>
      <c r="F83" s="37"/>
      <c r="G83" s="38"/>
      <c r="H83" s="38"/>
      <c r="I83" s="38"/>
      <c r="J83" s="38"/>
    </row>
    <row r="84" spans="1:10" ht="15.75" customHeight="1" x14ac:dyDescent="0.25">
      <c r="A84" s="38"/>
      <c r="B84" s="38"/>
      <c r="C84" s="39"/>
      <c r="D84" s="38"/>
      <c r="E84" s="36"/>
      <c r="F84" s="37"/>
      <c r="G84" s="38"/>
      <c r="H84" s="38"/>
      <c r="I84" s="38"/>
      <c r="J84" s="38"/>
    </row>
    <row r="85" spans="1:10" ht="15.75" customHeight="1" x14ac:dyDescent="0.25">
      <c r="A85" s="38"/>
      <c r="B85" s="38"/>
      <c r="C85" s="39"/>
      <c r="D85" s="38"/>
      <c r="E85" s="36"/>
      <c r="F85" s="37"/>
      <c r="G85" s="38"/>
      <c r="H85" s="38"/>
      <c r="I85" s="38"/>
      <c r="J85" s="38"/>
    </row>
    <row r="86" spans="1:10" ht="15.75" customHeight="1" x14ac:dyDescent="0.25">
      <c r="A86" s="38"/>
      <c r="B86" s="38"/>
      <c r="C86" s="39"/>
      <c r="D86" s="38"/>
      <c r="E86" s="36"/>
      <c r="F86" s="37"/>
      <c r="G86" s="38"/>
      <c r="H86" s="38"/>
      <c r="I86" s="38"/>
      <c r="J86" s="38"/>
    </row>
    <row r="87" spans="1:10" ht="15.75" customHeight="1" x14ac:dyDescent="0.25">
      <c r="A87" s="38"/>
      <c r="B87" s="38"/>
      <c r="C87" s="39"/>
      <c r="D87" s="38"/>
      <c r="E87" s="36"/>
      <c r="F87" s="37"/>
      <c r="G87" s="38"/>
      <c r="H87" s="38"/>
      <c r="I87" s="38"/>
      <c r="J87" s="38"/>
    </row>
    <row r="88" spans="1:10" ht="15.75" customHeight="1" x14ac:dyDescent="0.25">
      <c r="A88" s="38"/>
      <c r="B88" s="38"/>
      <c r="C88" s="39"/>
      <c r="D88" s="38"/>
      <c r="E88" s="36"/>
      <c r="F88" s="37"/>
      <c r="G88" s="38"/>
      <c r="H88" s="38"/>
      <c r="I88" s="38"/>
      <c r="J88" s="38"/>
    </row>
    <row r="89" spans="1:10" ht="15.75" customHeight="1" x14ac:dyDescent="0.25">
      <c r="A89" s="38"/>
      <c r="B89" s="38"/>
      <c r="C89" s="39"/>
      <c r="D89" s="38"/>
      <c r="E89" s="36"/>
      <c r="F89" s="37"/>
      <c r="G89" s="38"/>
      <c r="H89" s="38"/>
      <c r="I89" s="38"/>
      <c r="J89" s="38"/>
    </row>
    <row r="90" spans="1:10" ht="15.75" customHeight="1" x14ac:dyDescent="0.25">
      <c r="A90" s="38"/>
      <c r="B90" s="38"/>
      <c r="C90" s="39"/>
      <c r="D90" s="38"/>
      <c r="E90" s="36"/>
      <c r="F90" s="37"/>
      <c r="G90" s="38"/>
      <c r="H90" s="38"/>
      <c r="I90" s="38"/>
      <c r="J90" s="38"/>
    </row>
    <row r="91" spans="1:10" ht="15.75" customHeight="1" x14ac:dyDescent="0.25">
      <c r="A91" s="38"/>
      <c r="B91" s="38"/>
      <c r="C91" s="39"/>
      <c r="D91" s="38"/>
      <c r="E91" s="36"/>
      <c r="F91" s="37"/>
      <c r="G91" s="38"/>
      <c r="H91" s="38"/>
      <c r="I91" s="38"/>
      <c r="J91" s="38"/>
    </row>
    <row r="92" spans="1:10" ht="15.75" customHeight="1" x14ac:dyDescent="0.25">
      <c r="A92" s="38"/>
      <c r="B92" s="38"/>
      <c r="C92" s="39"/>
      <c r="D92" s="38"/>
      <c r="E92" s="36"/>
      <c r="F92" s="37"/>
      <c r="G92" s="38"/>
      <c r="H92" s="38"/>
      <c r="I92" s="38"/>
      <c r="J92" s="38"/>
    </row>
    <row r="93" spans="1:10" ht="15.75" customHeight="1" x14ac:dyDescent="0.25">
      <c r="A93" s="38"/>
      <c r="B93" s="38"/>
      <c r="C93" s="39"/>
      <c r="D93" s="38"/>
      <c r="E93" s="36"/>
      <c r="F93" s="37"/>
      <c r="G93" s="38"/>
      <c r="H93" s="38"/>
      <c r="I93" s="38"/>
      <c r="J93" s="38"/>
    </row>
    <row r="94" spans="1:10" ht="15.75" customHeight="1" x14ac:dyDescent="0.25">
      <c r="A94" s="38"/>
      <c r="B94" s="38"/>
      <c r="C94" s="39"/>
      <c r="D94" s="38"/>
      <c r="E94" s="36"/>
      <c r="F94" s="37"/>
      <c r="G94" s="38"/>
      <c r="H94" s="38"/>
      <c r="I94" s="38"/>
      <c r="J94" s="38"/>
    </row>
    <row r="95" spans="1:10" ht="15.75" customHeight="1" x14ac:dyDescent="0.25">
      <c r="A95" s="38"/>
      <c r="B95" s="38"/>
      <c r="C95" s="39"/>
      <c r="D95" s="38"/>
      <c r="E95" s="36"/>
      <c r="F95" s="37"/>
      <c r="G95" s="38"/>
      <c r="H95" s="38"/>
      <c r="I95" s="38"/>
      <c r="J95" s="38"/>
    </row>
    <row r="96" spans="1:10" ht="15.75" customHeight="1" x14ac:dyDescent="0.25">
      <c r="A96" s="38"/>
      <c r="B96" s="38"/>
      <c r="C96" s="39"/>
      <c r="D96" s="38"/>
      <c r="E96" s="36"/>
      <c r="F96" s="37"/>
      <c r="G96" s="38"/>
      <c r="H96" s="38"/>
      <c r="I96" s="38"/>
      <c r="J96" s="38"/>
    </row>
    <row r="97" spans="1:10" ht="15.75" customHeight="1" x14ac:dyDescent="0.25">
      <c r="A97" s="38"/>
      <c r="B97" s="38"/>
      <c r="C97" s="39"/>
      <c r="D97" s="38"/>
      <c r="E97" s="36"/>
      <c r="F97" s="37"/>
      <c r="G97" s="38"/>
      <c r="H97" s="38"/>
      <c r="I97" s="38"/>
      <c r="J97" s="38"/>
    </row>
    <row r="98" spans="1:10" ht="15.75" customHeight="1" x14ac:dyDescent="0.25">
      <c r="A98" s="38"/>
      <c r="B98" s="38"/>
      <c r="C98" s="39"/>
      <c r="D98" s="38"/>
      <c r="E98" s="36"/>
      <c r="F98" s="37"/>
      <c r="G98" s="38"/>
      <c r="H98" s="38"/>
      <c r="I98" s="38"/>
      <c r="J98" s="38"/>
    </row>
    <row r="99" spans="1:10" ht="15.75" customHeight="1" x14ac:dyDescent="0.25">
      <c r="A99" s="38"/>
      <c r="B99" s="38"/>
      <c r="C99" s="39"/>
      <c r="D99" s="38"/>
      <c r="E99" s="36"/>
      <c r="F99" s="37"/>
      <c r="G99" s="38"/>
      <c r="H99" s="38"/>
      <c r="I99" s="38"/>
      <c r="J99" s="38"/>
    </row>
    <row r="100" spans="1:10" ht="15.75" customHeight="1" x14ac:dyDescent="0.25">
      <c r="A100" s="38"/>
      <c r="B100" s="38"/>
      <c r="C100" s="39"/>
      <c r="D100" s="38"/>
      <c r="E100" s="36"/>
      <c r="F100" s="37"/>
      <c r="G100" s="38"/>
      <c r="H100" s="38"/>
      <c r="I100" s="38"/>
      <c r="J100" s="38"/>
    </row>
    <row r="101" spans="1:10" ht="15.75" customHeight="1" x14ac:dyDescent="0.25">
      <c r="A101" s="38"/>
      <c r="B101" s="38"/>
      <c r="C101" s="39"/>
      <c r="D101" s="38"/>
      <c r="E101" s="36"/>
      <c r="F101" s="37"/>
      <c r="G101" s="38"/>
      <c r="H101" s="38"/>
      <c r="I101" s="38"/>
      <c r="J101" s="38"/>
    </row>
    <row r="102" spans="1:10" ht="15.75" customHeight="1" x14ac:dyDescent="0.25">
      <c r="A102" s="38"/>
      <c r="B102" s="38"/>
      <c r="C102" s="39"/>
      <c r="D102" s="38"/>
      <c r="E102" s="36"/>
      <c r="F102" s="37"/>
      <c r="G102" s="38"/>
      <c r="H102" s="38"/>
      <c r="I102" s="38"/>
      <c r="J102" s="38"/>
    </row>
    <row r="103" spans="1:10" ht="15.75" customHeight="1" x14ac:dyDescent="0.25">
      <c r="A103" s="38"/>
      <c r="B103" s="38"/>
      <c r="C103" s="39"/>
      <c r="D103" s="38"/>
      <c r="E103" s="36"/>
      <c r="F103" s="37"/>
      <c r="G103" s="38"/>
      <c r="H103" s="38"/>
      <c r="I103" s="38"/>
      <c r="J103" s="38"/>
    </row>
    <row r="104" spans="1:10" ht="15.75" customHeight="1" x14ac:dyDescent="0.25">
      <c r="A104" s="38"/>
      <c r="B104" s="38"/>
      <c r="C104" s="39"/>
      <c r="D104" s="38"/>
      <c r="E104" s="36"/>
      <c r="F104" s="37"/>
      <c r="G104" s="38"/>
      <c r="H104" s="38"/>
      <c r="I104" s="38"/>
      <c r="J104" s="38"/>
    </row>
    <row r="105" spans="1:10" ht="15.75" customHeight="1" x14ac:dyDescent="0.25">
      <c r="A105" s="38"/>
      <c r="B105" s="38"/>
      <c r="C105" s="39"/>
      <c r="D105" s="38"/>
      <c r="E105" s="36"/>
      <c r="F105" s="37"/>
      <c r="G105" s="38"/>
      <c r="H105" s="38"/>
      <c r="I105" s="38"/>
      <c r="J105" s="38"/>
    </row>
    <row r="106" spans="1:10" ht="15.75" customHeight="1" x14ac:dyDescent="0.25">
      <c r="A106" s="38"/>
      <c r="B106" s="38"/>
      <c r="C106" s="39"/>
      <c r="D106" s="38"/>
      <c r="E106" s="36"/>
      <c r="F106" s="37"/>
      <c r="G106" s="38"/>
      <c r="H106" s="38"/>
      <c r="I106" s="38"/>
      <c r="J106" s="38"/>
    </row>
    <row r="107" spans="1:10" ht="15.75" customHeight="1" x14ac:dyDescent="0.25">
      <c r="A107" s="38"/>
      <c r="B107" s="38"/>
      <c r="C107" s="39"/>
      <c r="D107" s="38"/>
      <c r="E107" s="36"/>
      <c r="F107" s="37"/>
      <c r="G107" s="38"/>
      <c r="H107" s="38"/>
      <c r="I107" s="38"/>
      <c r="J107" s="38"/>
    </row>
    <row r="108" spans="1:10" ht="15.75" customHeight="1" x14ac:dyDescent="0.25">
      <c r="A108" s="38"/>
      <c r="B108" s="38"/>
      <c r="C108" s="39"/>
      <c r="D108" s="38"/>
      <c r="E108" s="36"/>
      <c r="F108" s="37"/>
      <c r="G108" s="38"/>
      <c r="H108" s="38"/>
      <c r="I108" s="38"/>
      <c r="J108" s="38"/>
    </row>
    <row r="109" spans="1:10" ht="15.75" customHeight="1" x14ac:dyDescent="0.25">
      <c r="A109" s="38"/>
      <c r="B109" s="38"/>
      <c r="C109" s="39"/>
      <c r="D109" s="38"/>
      <c r="E109" s="36"/>
      <c r="F109" s="37"/>
      <c r="G109" s="38"/>
      <c r="H109" s="38"/>
      <c r="I109" s="38"/>
      <c r="J109" s="38"/>
    </row>
    <row r="110" spans="1:10" ht="15.75" customHeight="1" x14ac:dyDescent="0.25">
      <c r="A110" s="38"/>
      <c r="B110" s="38"/>
      <c r="C110" s="39"/>
      <c r="D110" s="38"/>
      <c r="E110" s="36"/>
      <c r="F110" s="37"/>
      <c r="G110" s="38"/>
      <c r="H110" s="38"/>
      <c r="I110" s="38"/>
      <c r="J110" s="38"/>
    </row>
    <row r="111" spans="1:10" ht="15.75" customHeight="1" x14ac:dyDescent="0.25">
      <c r="A111" s="38"/>
      <c r="B111" s="38"/>
      <c r="C111" s="39"/>
      <c r="D111" s="38"/>
      <c r="E111" s="36"/>
      <c r="F111" s="37"/>
      <c r="G111" s="38"/>
      <c r="H111" s="38"/>
      <c r="I111" s="38"/>
      <c r="J111" s="38"/>
    </row>
    <row r="112" spans="1:10" ht="15.75" customHeight="1" x14ac:dyDescent="0.25">
      <c r="A112" s="38"/>
      <c r="B112" s="38"/>
      <c r="C112" s="39"/>
      <c r="D112" s="38"/>
      <c r="E112" s="36"/>
      <c r="F112" s="37"/>
      <c r="G112" s="38"/>
      <c r="H112" s="38"/>
      <c r="I112" s="38"/>
      <c r="J112" s="38"/>
    </row>
    <row r="113" spans="1:10" ht="15.75" customHeight="1" x14ac:dyDescent="0.25">
      <c r="A113" s="38"/>
      <c r="B113" s="38"/>
      <c r="C113" s="39"/>
      <c r="D113" s="38"/>
      <c r="E113" s="36"/>
      <c r="F113" s="37"/>
      <c r="G113" s="38"/>
      <c r="H113" s="38"/>
      <c r="I113" s="38"/>
      <c r="J113" s="38"/>
    </row>
    <row r="114" spans="1:10" ht="15.75" customHeight="1" x14ac:dyDescent="0.25">
      <c r="A114" s="38"/>
      <c r="B114" s="38"/>
      <c r="C114" s="39"/>
      <c r="D114" s="38"/>
      <c r="E114" s="36"/>
      <c r="F114" s="37"/>
      <c r="G114" s="38"/>
      <c r="H114" s="38"/>
      <c r="I114" s="38"/>
      <c r="J114" s="38"/>
    </row>
    <row r="115" spans="1:10" ht="15.75" customHeight="1" x14ac:dyDescent="0.25">
      <c r="A115" s="38"/>
      <c r="B115" s="38"/>
      <c r="C115" s="39"/>
      <c r="D115" s="38"/>
      <c r="E115" s="36"/>
      <c r="F115" s="37"/>
      <c r="G115" s="38"/>
      <c r="H115" s="38"/>
      <c r="I115" s="38"/>
      <c r="J115" s="38"/>
    </row>
    <row r="116" spans="1:10" ht="15.75" customHeight="1" x14ac:dyDescent="0.25">
      <c r="A116" s="38"/>
      <c r="B116" s="38"/>
      <c r="C116" s="39"/>
      <c r="D116" s="38"/>
      <c r="E116" s="36"/>
      <c r="F116" s="37"/>
      <c r="G116" s="38"/>
      <c r="H116" s="38"/>
      <c r="I116" s="38"/>
      <c r="J116" s="38"/>
    </row>
    <row r="117" spans="1:10" ht="15.75" customHeight="1" x14ac:dyDescent="0.25">
      <c r="A117" s="38"/>
      <c r="B117" s="38"/>
      <c r="C117" s="39"/>
      <c r="D117" s="38"/>
      <c r="E117" s="36"/>
      <c r="F117" s="37"/>
      <c r="G117" s="38"/>
      <c r="H117" s="38"/>
      <c r="I117" s="38"/>
      <c r="J117" s="38"/>
    </row>
    <row r="118" spans="1:10" ht="15.75" customHeight="1" x14ac:dyDescent="0.25">
      <c r="A118" s="38"/>
      <c r="B118" s="38"/>
      <c r="C118" s="39"/>
      <c r="D118" s="38"/>
      <c r="E118" s="36"/>
      <c r="F118" s="37"/>
      <c r="G118" s="38"/>
      <c r="H118" s="38"/>
      <c r="I118" s="38"/>
      <c r="J118" s="38"/>
    </row>
    <row r="119" spans="1:10" ht="15.75" customHeight="1" x14ac:dyDescent="0.25">
      <c r="A119" s="38"/>
      <c r="B119" s="38"/>
      <c r="C119" s="39"/>
      <c r="D119" s="38"/>
      <c r="E119" s="36"/>
      <c r="F119" s="37"/>
      <c r="G119" s="38"/>
      <c r="H119" s="38"/>
      <c r="I119" s="38"/>
      <c r="J119" s="38"/>
    </row>
    <row r="120" spans="1:10" ht="15.75" customHeight="1" x14ac:dyDescent="0.25">
      <c r="A120" s="38"/>
      <c r="B120" s="38"/>
      <c r="C120" s="39"/>
      <c r="D120" s="38"/>
      <c r="E120" s="36"/>
      <c r="F120" s="37"/>
      <c r="G120" s="38"/>
      <c r="H120" s="38"/>
      <c r="I120" s="38"/>
      <c r="J120" s="38"/>
    </row>
    <row r="121" spans="1:10" ht="15.75" customHeight="1" x14ac:dyDescent="0.25">
      <c r="A121" s="38"/>
      <c r="B121" s="38"/>
      <c r="C121" s="39"/>
      <c r="D121" s="38"/>
      <c r="E121" s="36"/>
      <c r="F121" s="37"/>
      <c r="G121" s="38"/>
      <c r="H121" s="38"/>
      <c r="I121" s="38"/>
      <c r="J121" s="38"/>
    </row>
    <row r="122" spans="1:10" ht="15.75" customHeight="1" x14ac:dyDescent="0.25">
      <c r="A122" s="38"/>
      <c r="B122" s="38"/>
      <c r="C122" s="39"/>
      <c r="D122" s="38"/>
      <c r="E122" s="36"/>
      <c r="F122" s="37"/>
      <c r="G122" s="38"/>
      <c r="H122" s="38"/>
      <c r="I122" s="38"/>
      <c r="J122" s="38"/>
    </row>
    <row r="123" spans="1:10" ht="15.75" customHeight="1" x14ac:dyDescent="0.25">
      <c r="A123" s="38"/>
      <c r="B123" s="38"/>
      <c r="C123" s="39"/>
      <c r="D123" s="38"/>
      <c r="E123" s="36"/>
      <c r="F123" s="37"/>
      <c r="G123" s="38"/>
      <c r="H123" s="38"/>
      <c r="I123" s="38"/>
      <c r="J123" s="38"/>
    </row>
    <row r="124" spans="1:10" ht="15.75" customHeight="1" x14ac:dyDescent="0.25">
      <c r="A124" s="38"/>
      <c r="B124" s="38"/>
      <c r="C124" s="39"/>
      <c r="D124" s="38"/>
      <c r="E124" s="36"/>
      <c r="F124" s="37"/>
      <c r="G124" s="38"/>
      <c r="H124" s="38"/>
      <c r="I124" s="38"/>
      <c r="J124" s="38"/>
    </row>
    <row r="125" spans="1:10" ht="15.75" customHeight="1" x14ac:dyDescent="0.25">
      <c r="A125" s="38"/>
      <c r="B125" s="38"/>
      <c r="C125" s="39"/>
      <c r="D125" s="38"/>
      <c r="E125" s="36"/>
      <c r="F125" s="37"/>
      <c r="G125" s="38"/>
      <c r="H125" s="38"/>
      <c r="I125" s="38"/>
      <c r="J125" s="38"/>
    </row>
    <row r="126" spans="1:10" ht="15.75" customHeight="1" x14ac:dyDescent="0.25">
      <c r="A126" s="38"/>
      <c r="B126" s="38"/>
      <c r="C126" s="39"/>
      <c r="D126" s="38"/>
      <c r="E126" s="36"/>
      <c r="F126" s="37"/>
      <c r="G126" s="38"/>
      <c r="H126" s="38"/>
      <c r="I126" s="38"/>
      <c r="J126" s="38"/>
    </row>
    <row r="127" spans="1:10" ht="15.75" customHeight="1" x14ac:dyDescent="0.25">
      <c r="A127" s="38"/>
      <c r="B127" s="38"/>
      <c r="C127" s="39"/>
      <c r="D127" s="38"/>
      <c r="E127" s="36"/>
      <c r="F127" s="37"/>
      <c r="G127" s="38"/>
      <c r="H127" s="38"/>
      <c r="I127" s="38"/>
      <c r="J127" s="38"/>
    </row>
    <row r="128" spans="1:10" ht="15.75" customHeight="1" x14ac:dyDescent="0.25">
      <c r="A128" s="38"/>
      <c r="B128" s="38"/>
      <c r="C128" s="39"/>
      <c r="D128" s="38"/>
      <c r="E128" s="36"/>
      <c r="F128" s="37"/>
      <c r="G128" s="38"/>
      <c r="H128" s="38"/>
      <c r="I128" s="38"/>
      <c r="J128" s="38"/>
    </row>
    <row r="129" spans="1:10" ht="15.75" customHeight="1" x14ac:dyDescent="0.25">
      <c r="A129" s="38"/>
      <c r="B129" s="38"/>
      <c r="C129" s="39"/>
      <c r="D129" s="38"/>
      <c r="E129" s="36"/>
      <c r="F129" s="37"/>
      <c r="G129" s="38"/>
      <c r="H129" s="38"/>
      <c r="I129" s="38"/>
      <c r="J129" s="38"/>
    </row>
    <row r="130" spans="1:10" ht="15.75" customHeight="1" x14ac:dyDescent="0.25">
      <c r="A130" s="38"/>
      <c r="B130" s="38"/>
      <c r="C130" s="39"/>
      <c r="D130" s="38"/>
      <c r="E130" s="36"/>
      <c r="F130" s="37"/>
      <c r="G130" s="38"/>
      <c r="H130" s="38"/>
      <c r="I130" s="38"/>
      <c r="J130" s="38"/>
    </row>
    <row r="131" spans="1:10" ht="15.75" customHeight="1" x14ac:dyDescent="0.25">
      <c r="A131" s="38"/>
      <c r="B131" s="38"/>
      <c r="C131" s="39"/>
      <c r="D131" s="38"/>
      <c r="E131" s="36"/>
      <c r="F131" s="37"/>
      <c r="G131" s="38"/>
      <c r="H131" s="38"/>
      <c r="I131" s="38"/>
      <c r="J131" s="38"/>
    </row>
    <row r="132" spans="1:10" ht="15.75" customHeight="1" x14ac:dyDescent="0.25">
      <c r="A132" s="38"/>
      <c r="B132" s="38"/>
      <c r="C132" s="39"/>
      <c r="D132" s="38"/>
      <c r="E132" s="36"/>
      <c r="F132" s="37"/>
      <c r="G132" s="38"/>
      <c r="H132" s="38"/>
      <c r="I132" s="38"/>
      <c r="J132" s="38"/>
    </row>
    <row r="133" spans="1:10" ht="15.75" customHeight="1" x14ac:dyDescent="0.25">
      <c r="A133" s="38"/>
      <c r="B133" s="38"/>
      <c r="C133" s="39"/>
      <c r="D133" s="38"/>
      <c r="E133" s="36"/>
      <c r="F133" s="37"/>
      <c r="G133" s="38"/>
      <c r="H133" s="38"/>
      <c r="I133" s="38"/>
      <c r="J133" s="38"/>
    </row>
    <row r="134" spans="1:10" ht="15.75" customHeight="1" x14ac:dyDescent="0.25">
      <c r="A134" s="38"/>
      <c r="B134" s="38"/>
      <c r="C134" s="39"/>
      <c r="D134" s="38"/>
      <c r="E134" s="36"/>
      <c r="F134" s="37"/>
      <c r="G134" s="38"/>
      <c r="H134" s="38"/>
      <c r="I134" s="38"/>
      <c r="J134" s="38"/>
    </row>
    <row r="135" spans="1:10" ht="15.75" customHeight="1" x14ac:dyDescent="0.25">
      <c r="A135" s="38"/>
      <c r="B135" s="38"/>
      <c r="C135" s="39"/>
      <c r="D135" s="38"/>
      <c r="E135" s="36"/>
      <c r="F135" s="37"/>
      <c r="G135" s="38"/>
      <c r="H135" s="38"/>
      <c r="I135" s="38"/>
      <c r="J135" s="38"/>
    </row>
    <row r="136" spans="1:10" ht="15.75" customHeight="1" x14ac:dyDescent="0.25">
      <c r="A136" s="38"/>
      <c r="B136" s="38"/>
      <c r="C136" s="39"/>
      <c r="D136" s="38"/>
      <c r="E136" s="36"/>
      <c r="F136" s="37"/>
      <c r="G136" s="38"/>
      <c r="H136" s="38"/>
      <c r="I136" s="38"/>
      <c r="J136" s="38"/>
    </row>
    <row r="137" spans="1:10" ht="15.75" customHeight="1" x14ac:dyDescent="0.25">
      <c r="A137" s="38"/>
      <c r="B137" s="38"/>
      <c r="C137" s="39"/>
      <c r="D137" s="38"/>
      <c r="E137" s="36"/>
      <c r="F137" s="37"/>
      <c r="G137" s="38"/>
      <c r="H137" s="38"/>
      <c r="I137" s="38"/>
      <c r="J137" s="38"/>
    </row>
    <row r="138" spans="1:10" ht="15.75" customHeight="1" x14ac:dyDescent="0.25">
      <c r="A138" s="38"/>
      <c r="B138" s="38"/>
      <c r="C138" s="39"/>
      <c r="D138" s="38"/>
      <c r="E138" s="36"/>
      <c r="F138" s="37"/>
      <c r="G138" s="38"/>
      <c r="H138" s="38"/>
      <c r="I138" s="38"/>
      <c r="J138" s="38"/>
    </row>
    <row r="139" spans="1:10" ht="15.75" customHeight="1" x14ac:dyDescent="0.25">
      <c r="A139" s="38"/>
      <c r="B139" s="38"/>
      <c r="C139" s="39"/>
      <c r="D139" s="38"/>
      <c r="E139" s="36"/>
      <c r="F139" s="37"/>
      <c r="G139" s="38"/>
      <c r="H139" s="38"/>
      <c r="I139" s="38"/>
      <c r="J139" s="38"/>
    </row>
    <row r="140" spans="1:10" ht="15.75" customHeight="1" x14ac:dyDescent="0.25">
      <c r="A140" s="38"/>
      <c r="B140" s="38"/>
      <c r="C140" s="39"/>
      <c r="D140" s="38"/>
      <c r="E140" s="36"/>
      <c r="F140" s="37"/>
      <c r="G140" s="38"/>
      <c r="H140" s="38"/>
      <c r="I140" s="38"/>
      <c r="J140" s="38"/>
    </row>
    <row r="141" spans="1:10" ht="15.75" customHeight="1" x14ac:dyDescent="0.25">
      <c r="A141" s="38"/>
      <c r="B141" s="38"/>
      <c r="C141" s="39"/>
      <c r="D141" s="38"/>
      <c r="E141" s="36"/>
      <c r="F141" s="37"/>
      <c r="G141" s="38"/>
      <c r="H141" s="38"/>
      <c r="I141" s="38"/>
      <c r="J141" s="38"/>
    </row>
    <row r="142" spans="1:10" ht="15.75" customHeight="1" x14ac:dyDescent="0.25">
      <c r="A142" s="38"/>
      <c r="B142" s="38"/>
      <c r="C142" s="39"/>
      <c r="D142" s="38"/>
      <c r="E142" s="36"/>
      <c r="F142" s="37"/>
      <c r="G142" s="38"/>
      <c r="H142" s="38"/>
      <c r="I142" s="38"/>
      <c r="J142" s="38"/>
    </row>
    <row r="143" spans="1:10" ht="15.75" customHeight="1" x14ac:dyDescent="0.25">
      <c r="A143" s="38"/>
      <c r="B143" s="38"/>
      <c r="C143" s="39"/>
      <c r="D143" s="38"/>
      <c r="E143" s="36"/>
      <c r="F143" s="37"/>
      <c r="G143" s="38"/>
      <c r="H143" s="38"/>
      <c r="I143" s="38"/>
      <c r="J143" s="38"/>
    </row>
    <row r="144" spans="1:10" ht="15.75" customHeight="1" x14ac:dyDescent="0.25">
      <c r="A144" s="38"/>
      <c r="B144" s="38"/>
      <c r="C144" s="39"/>
      <c r="D144" s="38"/>
      <c r="E144" s="36"/>
      <c r="F144" s="37"/>
      <c r="G144" s="38"/>
      <c r="H144" s="38"/>
      <c r="I144" s="38"/>
      <c r="J144" s="38"/>
    </row>
    <row r="145" spans="1:10" ht="15.75" customHeight="1" x14ac:dyDescent="0.25">
      <c r="A145" s="38"/>
      <c r="B145" s="38"/>
      <c r="C145" s="39"/>
      <c r="D145" s="38"/>
      <c r="E145" s="36"/>
      <c r="F145" s="37"/>
      <c r="G145" s="38"/>
      <c r="H145" s="38"/>
      <c r="I145" s="38"/>
      <c r="J145" s="38"/>
    </row>
    <row r="146" spans="1:10" ht="15.75" customHeight="1" x14ac:dyDescent="0.25">
      <c r="A146" s="38"/>
      <c r="B146" s="38"/>
      <c r="C146" s="39"/>
      <c r="D146" s="38"/>
      <c r="E146" s="36"/>
      <c r="F146" s="37"/>
      <c r="G146" s="38"/>
      <c r="H146" s="38"/>
      <c r="I146" s="38"/>
      <c r="J146" s="38"/>
    </row>
    <row r="147" spans="1:10" ht="15.75" customHeight="1" x14ac:dyDescent="0.25">
      <c r="A147" s="38"/>
      <c r="B147" s="38"/>
      <c r="C147" s="39"/>
      <c r="D147" s="38"/>
      <c r="E147" s="36"/>
      <c r="F147" s="37"/>
      <c r="G147" s="38"/>
      <c r="H147" s="38"/>
      <c r="I147" s="38"/>
      <c r="J147" s="38"/>
    </row>
    <row r="148" spans="1:10" ht="15.75" customHeight="1" x14ac:dyDescent="0.25">
      <c r="A148" s="38"/>
      <c r="B148" s="38"/>
      <c r="C148" s="39"/>
      <c r="D148" s="38"/>
      <c r="E148" s="36"/>
      <c r="F148" s="37"/>
      <c r="G148" s="38"/>
      <c r="H148" s="38"/>
      <c r="I148" s="38"/>
      <c r="J148" s="38"/>
    </row>
    <row r="149" spans="1:10" ht="15.75" customHeight="1" x14ac:dyDescent="0.25">
      <c r="A149" s="38"/>
      <c r="B149" s="38"/>
      <c r="C149" s="39"/>
      <c r="D149" s="38"/>
      <c r="E149" s="36"/>
      <c r="F149" s="37"/>
      <c r="G149" s="38"/>
      <c r="H149" s="38"/>
      <c r="I149" s="38"/>
      <c r="J149" s="38"/>
    </row>
    <row r="150" spans="1:10" ht="15.75" customHeight="1" x14ac:dyDescent="0.25">
      <c r="A150" s="38"/>
      <c r="B150" s="38"/>
      <c r="C150" s="39"/>
      <c r="D150" s="38"/>
      <c r="E150" s="36"/>
      <c r="F150" s="37"/>
      <c r="G150" s="38"/>
      <c r="H150" s="38"/>
      <c r="I150" s="38"/>
      <c r="J150" s="38"/>
    </row>
    <row r="151" spans="1:10" ht="15.75" customHeight="1" x14ac:dyDescent="0.25">
      <c r="A151" s="38"/>
      <c r="B151" s="38"/>
      <c r="C151" s="39"/>
      <c r="D151" s="38"/>
      <c r="E151" s="36"/>
      <c r="F151" s="37"/>
      <c r="G151" s="38"/>
      <c r="H151" s="38"/>
      <c r="I151" s="38"/>
      <c r="J151" s="38"/>
    </row>
    <row r="152" spans="1:10" ht="15.75" customHeight="1" x14ac:dyDescent="0.25">
      <c r="A152" s="38"/>
      <c r="B152" s="38"/>
      <c r="C152" s="39"/>
      <c r="D152" s="38"/>
      <c r="E152" s="36"/>
      <c r="F152" s="37"/>
      <c r="G152" s="38"/>
      <c r="H152" s="38"/>
      <c r="I152" s="38"/>
      <c r="J152" s="38"/>
    </row>
    <row r="153" spans="1:10" ht="15.75" customHeight="1" x14ac:dyDescent="0.25">
      <c r="A153" s="38"/>
      <c r="B153" s="38"/>
      <c r="C153" s="39"/>
      <c r="D153" s="38"/>
      <c r="E153" s="36"/>
      <c r="F153" s="37"/>
      <c r="G153" s="38"/>
      <c r="H153" s="38"/>
      <c r="I153" s="38"/>
      <c r="J153" s="38"/>
    </row>
    <row r="154" spans="1:10" ht="15.75" customHeight="1" x14ac:dyDescent="0.25">
      <c r="A154" s="38"/>
      <c r="B154" s="38"/>
      <c r="C154" s="39"/>
      <c r="D154" s="38"/>
      <c r="E154" s="36"/>
      <c r="F154" s="37"/>
      <c r="G154" s="38"/>
      <c r="H154" s="38"/>
      <c r="I154" s="38"/>
      <c r="J154" s="38"/>
    </row>
    <row r="155" spans="1:10" ht="15.75" customHeight="1" x14ac:dyDescent="0.25">
      <c r="A155" s="38"/>
      <c r="B155" s="38"/>
      <c r="C155" s="39"/>
      <c r="D155" s="38"/>
      <c r="E155" s="36"/>
      <c r="F155" s="37"/>
      <c r="G155" s="38"/>
      <c r="H155" s="38"/>
      <c r="I155" s="38"/>
      <c r="J155" s="38"/>
    </row>
    <row r="156" spans="1:10" ht="15.75" customHeight="1" x14ac:dyDescent="0.25">
      <c r="A156" s="38"/>
      <c r="B156" s="38"/>
      <c r="C156" s="39"/>
      <c r="D156" s="38"/>
      <c r="E156" s="36"/>
      <c r="F156" s="37"/>
      <c r="G156" s="38"/>
      <c r="H156" s="38"/>
      <c r="I156" s="38"/>
      <c r="J156" s="38"/>
    </row>
    <row r="157" spans="1:10" ht="15.75" customHeight="1" x14ac:dyDescent="0.25">
      <c r="A157" s="38"/>
      <c r="B157" s="38"/>
      <c r="C157" s="39"/>
      <c r="D157" s="38"/>
      <c r="E157" s="36"/>
      <c r="F157" s="37"/>
      <c r="G157" s="38"/>
      <c r="H157" s="38"/>
      <c r="I157" s="38"/>
      <c r="J157" s="38"/>
    </row>
    <row r="158" spans="1:10" ht="15.75" customHeight="1" x14ac:dyDescent="0.25">
      <c r="A158" s="38"/>
      <c r="B158" s="38"/>
      <c r="C158" s="39"/>
      <c r="D158" s="38"/>
      <c r="E158" s="36"/>
      <c r="F158" s="37"/>
      <c r="G158" s="38"/>
      <c r="H158" s="38"/>
      <c r="I158" s="38"/>
      <c r="J158" s="38"/>
    </row>
    <row r="159" spans="1:10" ht="15.75" customHeight="1" x14ac:dyDescent="0.25">
      <c r="A159" s="38"/>
      <c r="B159" s="38"/>
      <c r="C159" s="39"/>
      <c r="D159" s="38"/>
      <c r="E159" s="36"/>
      <c r="F159" s="37"/>
      <c r="G159" s="38"/>
      <c r="H159" s="38"/>
      <c r="I159" s="38"/>
      <c r="J159" s="38"/>
    </row>
    <row r="160" spans="1:10" ht="15.75" customHeight="1" x14ac:dyDescent="0.25">
      <c r="A160" s="38"/>
      <c r="B160" s="38"/>
      <c r="C160" s="39"/>
      <c r="D160" s="38"/>
      <c r="E160" s="36"/>
      <c r="F160" s="37"/>
      <c r="G160" s="38"/>
      <c r="H160" s="38"/>
      <c r="I160" s="38"/>
      <c r="J160" s="38"/>
    </row>
    <row r="161" spans="1:10" ht="15.75" customHeight="1" x14ac:dyDescent="0.25">
      <c r="A161" s="38"/>
      <c r="B161" s="38"/>
      <c r="C161" s="39"/>
      <c r="D161" s="38"/>
      <c r="E161" s="36"/>
      <c r="F161" s="37"/>
      <c r="G161" s="38"/>
      <c r="H161" s="38"/>
      <c r="I161" s="38"/>
      <c r="J161" s="38"/>
    </row>
    <row r="162" spans="1:10" ht="15.75" customHeight="1" x14ac:dyDescent="0.25">
      <c r="A162" s="38"/>
      <c r="B162" s="38"/>
      <c r="C162" s="39"/>
      <c r="D162" s="38"/>
      <c r="E162" s="36"/>
      <c r="F162" s="37"/>
      <c r="G162" s="38"/>
      <c r="H162" s="38"/>
      <c r="I162" s="38"/>
      <c r="J162" s="38"/>
    </row>
    <row r="163" spans="1:10" ht="15.75" customHeight="1" x14ac:dyDescent="0.25">
      <c r="A163" s="38"/>
      <c r="B163" s="38"/>
      <c r="C163" s="39"/>
      <c r="D163" s="38"/>
      <c r="E163" s="36"/>
      <c r="F163" s="37"/>
      <c r="G163" s="38"/>
      <c r="H163" s="38"/>
      <c r="I163" s="38"/>
      <c r="J163" s="38"/>
    </row>
    <row r="164" spans="1:10" ht="15.75" customHeight="1" x14ac:dyDescent="0.25">
      <c r="A164" s="38"/>
      <c r="B164" s="38"/>
      <c r="C164" s="39"/>
      <c r="D164" s="38"/>
      <c r="E164" s="36"/>
      <c r="F164" s="37"/>
      <c r="G164" s="38"/>
      <c r="H164" s="38"/>
      <c r="I164" s="38"/>
      <c r="J164" s="38"/>
    </row>
    <row r="165" spans="1:10" ht="15.75" customHeight="1" x14ac:dyDescent="0.25">
      <c r="A165" s="38"/>
      <c r="B165" s="38"/>
      <c r="C165" s="39"/>
      <c r="D165" s="38"/>
      <c r="E165" s="36"/>
      <c r="F165" s="37"/>
      <c r="G165" s="38"/>
      <c r="H165" s="38"/>
      <c r="I165" s="38"/>
      <c r="J165" s="38"/>
    </row>
    <row r="166" spans="1:10" ht="15.75" customHeight="1" x14ac:dyDescent="0.25">
      <c r="A166" s="38"/>
      <c r="B166" s="38"/>
      <c r="C166" s="39"/>
      <c r="D166" s="38"/>
      <c r="E166" s="36"/>
      <c r="F166" s="37"/>
      <c r="G166" s="38"/>
      <c r="H166" s="38"/>
      <c r="I166" s="38"/>
      <c r="J166" s="38"/>
    </row>
    <row r="167" spans="1:10" ht="15.75" customHeight="1" x14ac:dyDescent="0.25">
      <c r="A167" s="38"/>
      <c r="B167" s="38"/>
      <c r="C167" s="39"/>
      <c r="D167" s="38"/>
      <c r="E167" s="36"/>
      <c r="F167" s="37"/>
      <c r="G167" s="38"/>
      <c r="H167" s="38"/>
      <c r="I167" s="38"/>
      <c r="J167" s="38"/>
    </row>
    <row r="168" spans="1:10" ht="15.75" customHeight="1" x14ac:dyDescent="0.25">
      <c r="A168" s="38"/>
      <c r="B168" s="38"/>
      <c r="C168" s="39"/>
      <c r="D168" s="38"/>
      <c r="E168" s="36"/>
      <c r="F168" s="37"/>
      <c r="G168" s="38"/>
      <c r="H168" s="38"/>
      <c r="I168" s="38"/>
      <c r="J168" s="38"/>
    </row>
    <row r="169" spans="1:10" ht="15.75" customHeight="1" x14ac:dyDescent="0.25">
      <c r="A169" s="38"/>
      <c r="B169" s="38"/>
      <c r="C169" s="39"/>
      <c r="D169" s="38"/>
      <c r="E169" s="36"/>
      <c r="F169" s="37"/>
      <c r="G169" s="38"/>
      <c r="H169" s="38"/>
      <c r="I169" s="38"/>
      <c r="J169" s="38"/>
    </row>
    <row r="170" spans="1:10" ht="15.75" customHeight="1" x14ac:dyDescent="0.25">
      <c r="A170" s="38"/>
      <c r="B170" s="38"/>
      <c r="C170" s="39"/>
      <c r="D170" s="38"/>
      <c r="E170" s="36"/>
      <c r="F170" s="37"/>
      <c r="G170" s="38"/>
      <c r="H170" s="38"/>
      <c r="I170" s="38"/>
      <c r="J170" s="38"/>
    </row>
    <row r="171" spans="1:10" ht="15.75" customHeight="1" x14ac:dyDescent="0.25">
      <c r="A171" s="38"/>
      <c r="B171" s="38"/>
      <c r="C171" s="39"/>
      <c r="D171" s="38"/>
      <c r="E171" s="36"/>
      <c r="F171" s="37"/>
      <c r="G171" s="38"/>
      <c r="H171" s="38"/>
      <c r="I171" s="38"/>
      <c r="J171" s="38"/>
    </row>
    <row r="172" spans="1:10" ht="15.75" customHeight="1" x14ac:dyDescent="0.25">
      <c r="A172" s="38"/>
      <c r="B172" s="38"/>
      <c r="C172" s="39"/>
      <c r="D172" s="38"/>
      <c r="E172" s="36"/>
      <c r="F172" s="37"/>
      <c r="G172" s="38"/>
      <c r="H172" s="38"/>
      <c r="I172" s="38"/>
      <c r="J172" s="38"/>
    </row>
    <row r="173" spans="1:10" ht="15.75" customHeight="1" x14ac:dyDescent="0.25">
      <c r="A173" s="38"/>
      <c r="B173" s="38"/>
      <c r="C173" s="39"/>
      <c r="D173" s="38"/>
      <c r="E173" s="36"/>
      <c r="F173" s="37"/>
      <c r="G173" s="38"/>
      <c r="H173" s="38"/>
      <c r="I173" s="38"/>
      <c r="J173" s="38"/>
    </row>
    <row r="174" spans="1:10" ht="15.75" customHeight="1" x14ac:dyDescent="0.25">
      <c r="A174" s="38"/>
      <c r="B174" s="38"/>
      <c r="C174" s="39"/>
      <c r="D174" s="38"/>
      <c r="E174" s="36"/>
      <c r="F174" s="37"/>
      <c r="G174" s="38"/>
      <c r="H174" s="38"/>
      <c r="I174" s="38"/>
      <c r="J174" s="38"/>
    </row>
    <row r="175" spans="1:10" ht="15.75" customHeight="1" x14ac:dyDescent="0.25">
      <c r="A175" s="38"/>
      <c r="B175" s="38"/>
      <c r="C175" s="39"/>
      <c r="D175" s="38"/>
      <c r="E175" s="36"/>
      <c r="F175" s="37"/>
      <c r="G175" s="38"/>
      <c r="H175" s="38"/>
      <c r="I175" s="38"/>
      <c r="J175" s="38"/>
    </row>
    <row r="176" spans="1:10" ht="15.75" customHeight="1" x14ac:dyDescent="0.25">
      <c r="A176" s="38"/>
      <c r="B176" s="38"/>
      <c r="C176" s="39"/>
      <c r="D176" s="38"/>
      <c r="E176" s="36"/>
      <c r="F176" s="37"/>
      <c r="G176" s="38"/>
      <c r="H176" s="38"/>
      <c r="I176" s="38"/>
      <c r="J176" s="38"/>
    </row>
    <row r="177" spans="1:10" ht="15.75" customHeight="1" x14ac:dyDescent="0.25">
      <c r="A177" s="38"/>
      <c r="B177" s="38"/>
      <c r="C177" s="39"/>
      <c r="D177" s="38"/>
      <c r="E177" s="36"/>
      <c r="F177" s="37"/>
      <c r="G177" s="38"/>
      <c r="H177" s="38"/>
      <c r="I177" s="38"/>
      <c r="J177" s="38"/>
    </row>
    <row r="178" spans="1:10" ht="15.75" customHeight="1" x14ac:dyDescent="0.25">
      <c r="A178" s="38"/>
      <c r="B178" s="38"/>
      <c r="C178" s="39"/>
      <c r="D178" s="38"/>
      <c r="E178" s="36"/>
      <c r="F178" s="37"/>
      <c r="G178" s="38"/>
      <c r="H178" s="38"/>
      <c r="I178" s="38"/>
      <c r="J178" s="38"/>
    </row>
    <row r="179" spans="1:10" ht="15.75" customHeight="1" x14ac:dyDescent="0.25">
      <c r="A179" s="38"/>
      <c r="B179" s="38"/>
      <c r="C179" s="39"/>
      <c r="D179" s="38"/>
      <c r="E179" s="36"/>
      <c r="F179" s="37"/>
      <c r="G179" s="38"/>
      <c r="H179" s="38"/>
      <c r="I179" s="38"/>
      <c r="J179" s="38"/>
    </row>
    <row r="180" spans="1:10" ht="15.75" customHeight="1" x14ac:dyDescent="0.25">
      <c r="A180" s="38"/>
      <c r="B180" s="38"/>
      <c r="C180" s="39"/>
      <c r="D180" s="38"/>
      <c r="E180" s="36"/>
      <c r="F180" s="37"/>
      <c r="G180" s="38"/>
      <c r="H180" s="38"/>
      <c r="I180" s="38"/>
      <c r="J180" s="38"/>
    </row>
    <row r="181" spans="1:10" ht="15.75" customHeight="1" x14ac:dyDescent="0.25">
      <c r="A181" s="38"/>
      <c r="B181" s="38"/>
      <c r="C181" s="39"/>
      <c r="D181" s="38"/>
      <c r="E181" s="36"/>
      <c r="F181" s="37"/>
      <c r="G181" s="38"/>
      <c r="H181" s="38"/>
      <c r="I181" s="38"/>
      <c r="J181" s="38"/>
    </row>
    <row r="182" spans="1:10" ht="15.75" customHeight="1" x14ac:dyDescent="0.25">
      <c r="A182" s="38"/>
      <c r="B182" s="38"/>
      <c r="C182" s="39"/>
      <c r="D182" s="38"/>
      <c r="E182" s="36"/>
      <c r="F182" s="37"/>
      <c r="G182" s="38"/>
      <c r="H182" s="38"/>
      <c r="I182" s="38"/>
      <c r="J182" s="38"/>
    </row>
    <row r="183" spans="1:10" ht="15.75" customHeight="1" x14ac:dyDescent="0.25">
      <c r="A183" s="38"/>
      <c r="B183" s="38"/>
      <c r="C183" s="39"/>
      <c r="D183" s="38"/>
      <c r="E183" s="36"/>
      <c r="F183" s="37"/>
      <c r="G183" s="38"/>
      <c r="H183" s="38"/>
      <c r="I183" s="38"/>
      <c r="J183" s="38"/>
    </row>
    <row r="184" spans="1:10" ht="15.75" customHeight="1" x14ac:dyDescent="0.25">
      <c r="A184" s="38"/>
      <c r="B184" s="38"/>
      <c r="C184" s="39"/>
      <c r="D184" s="38"/>
      <c r="E184" s="36"/>
      <c r="F184" s="37"/>
      <c r="G184" s="38"/>
      <c r="H184" s="38"/>
      <c r="I184" s="38"/>
      <c r="J184" s="38"/>
    </row>
    <row r="185" spans="1:10" ht="15.75" customHeight="1" x14ac:dyDescent="0.25">
      <c r="A185" s="38"/>
      <c r="B185" s="38"/>
      <c r="C185" s="39"/>
      <c r="D185" s="38"/>
      <c r="E185" s="36"/>
      <c r="F185" s="37"/>
      <c r="G185" s="38"/>
      <c r="H185" s="38"/>
      <c r="I185" s="38"/>
      <c r="J185" s="38"/>
    </row>
    <row r="186" spans="1:10" ht="15.75" customHeight="1" x14ac:dyDescent="0.25">
      <c r="A186" s="38"/>
      <c r="B186" s="38"/>
      <c r="C186" s="39"/>
      <c r="D186" s="38"/>
      <c r="E186" s="36"/>
      <c r="F186" s="37"/>
      <c r="G186" s="38"/>
      <c r="H186" s="38"/>
      <c r="I186" s="38"/>
      <c r="J186" s="38"/>
    </row>
    <row r="187" spans="1:10" ht="15.75" customHeight="1" x14ac:dyDescent="0.25">
      <c r="A187" s="38"/>
      <c r="B187" s="38"/>
      <c r="C187" s="39"/>
      <c r="D187" s="38"/>
      <c r="E187" s="36"/>
      <c r="F187" s="37"/>
      <c r="G187" s="38"/>
      <c r="H187" s="38"/>
      <c r="I187" s="38"/>
      <c r="J187" s="38"/>
    </row>
    <row r="188" spans="1:10" ht="15.75" customHeight="1" x14ac:dyDescent="0.25">
      <c r="A188" s="38"/>
      <c r="B188" s="38"/>
      <c r="C188" s="39"/>
      <c r="D188" s="38"/>
      <c r="E188" s="36"/>
      <c r="F188" s="37"/>
      <c r="G188" s="38"/>
      <c r="H188" s="38"/>
      <c r="I188" s="38"/>
      <c r="J188" s="38"/>
    </row>
    <row r="189" spans="1:10" ht="15.75" customHeight="1" x14ac:dyDescent="0.25">
      <c r="A189" s="38"/>
      <c r="B189" s="38"/>
      <c r="C189" s="39"/>
      <c r="D189" s="38"/>
      <c r="E189" s="36"/>
      <c r="F189" s="37"/>
      <c r="G189" s="38"/>
      <c r="H189" s="38"/>
      <c r="I189" s="38"/>
      <c r="J189" s="38"/>
    </row>
    <row r="190" spans="1:10" ht="15.75" customHeight="1" x14ac:dyDescent="0.25">
      <c r="A190" s="38"/>
      <c r="B190" s="38"/>
      <c r="C190" s="39"/>
      <c r="D190" s="38"/>
      <c r="E190" s="36"/>
      <c r="F190" s="37"/>
      <c r="G190" s="38"/>
      <c r="H190" s="38"/>
      <c r="I190" s="38"/>
      <c r="J190" s="38"/>
    </row>
    <row r="191" spans="1:10" ht="15.75" customHeight="1" x14ac:dyDescent="0.25">
      <c r="A191" s="38"/>
      <c r="B191" s="38"/>
      <c r="C191" s="39"/>
      <c r="D191" s="38"/>
      <c r="E191" s="36"/>
      <c r="F191" s="37"/>
      <c r="G191" s="38"/>
      <c r="H191" s="38"/>
      <c r="I191" s="38"/>
      <c r="J191" s="38"/>
    </row>
    <row r="192" spans="1:10" ht="15.75" customHeight="1" x14ac:dyDescent="0.25">
      <c r="A192" s="38"/>
      <c r="B192" s="38"/>
      <c r="C192" s="39"/>
      <c r="D192" s="38"/>
      <c r="E192" s="36"/>
      <c r="F192" s="37"/>
      <c r="G192" s="38"/>
      <c r="H192" s="38"/>
      <c r="I192" s="38"/>
      <c r="J192" s="38"/>
    </row>
    <row r="193" spans="1:10" ht="15.75" customHeight="1" x14ac:dyDescent="0.25">
      <c r="A193" s="38"/>
      <c r="B193" s="38"/>
      <c r="C193" s="39"/>
      <c r="D193" s="38"/>
      <c r="E193" s="36"/>
      <c r="F193" s="37"/>
      <c r="G193" s="38"/>
      <c r="H193" s="38"/>
      <c r="I193" s="38"/>
      <c r="J193" s="38"/>
    </row>
    <row r="194" spans="1:10" ht="15.75" customHeight="1" x14ac:dyDescent="0.25">
      <c r="A194" s="38"/>
      <c r="B194" s="38"/>
      <c r="C194" s="39"/>
      <c r="D194" s="38"/>
      <c r="E194" s="36"/>
      <c r="F194" s="37"/>
      <c r="G194" s="38"/>
      <c r="H194" s="38"/>
      <c r="I194" s="38"/>
      <c r="J194" s="38"/>
    </row>
    <row r="195" spans="1:10" ht="15.75" customHeight="1" x14ac:dyDescent="0.25">
      <c r="A195" s="38"/>
      <c r="B195" s="38"/>
      <c r="C195" s="39"/>
      <c r="D195" s="38"/>
      <c r="E195" s="36"/>
      <c r="F195" s="37"/>
      <c r="G195" s="38"/>
      <c r="H195" s="38"/>
      <c r="I195" s="38"/>
      <c r="J195" s="38"/>
    </row>
    <row r="196" spans="1:10" ht="15.75" customHeight="1" x14ac:dyDescent="0.25">
      <c r="A196" s="38"/>
      <c r="B196" s="38"/>
      <c r="C196" s="39"/>
      <c r="D196" s="38"/>
      <c r="E196" s="36"/>
      <c r="F196" s="37"/>
      <c r="G196" s="38"/>
      <c r="H196" s="38"/>
      <c r="I196" s="38"/>
      <c r="J196" s="38"/>
    </row>
    <row r="197" spans="1:10" ht="15.75" customHeight="1" x14ac:dyDescent="0.25">
      <c r="A197" s="38"/>
      <c r="B197" s="38"/>
      <c r="C197" s="39"/>
      <c r="D197" s="38"/>
      <c r="E197" s="36"/>
      <c r="F197" s="37"/>
      <c r="G197" s="38"/>
      <c r="H197" s="38"/>
      <c r="I197" s="38"/>
      <c r="J197" s="38"/>
    </row>
    <row r="198" spans="1:10" ht="15.75" customHeight="1" x14ac:dyDescent="0.25">
      <c r="A198" s="38"/>
      <c r="B198" s="38"/>
      <c r="C198" s="39"/>
      <c r="D198" s="38"/>
      <c r="E198" s="36"/>
      <c r="F198" s="37"/>
      <c r="G198" s="38"/>
      <c r="H198" s="38"/>
      <c r="I198" s="38"/>
      <c r="J198" s="38"/>
    </row>
    <row r="199" spans="1:10" ht="15.75" customHeight="1" x14ac:dyDescent="0.25">
      <c r="A199" s="38"/>
      <c r="B199" s="38"/>
      <c r="C199" s="39"/>
      <c r="D199" s="38"/>
      <c r="E199" s="36"/>
      <c r="F199" s="37"/>
      <c r="G199" s="38"/>
      <c r="H199" s="38"/>
      <c r="I199" s="38"/>
      <c r="J199" s="38"/>
    </row>
    <row r="200" spans="1:10" ht="15.75" customHeight="1" x14ac:dyDescent="0.25">
      <c r="A200" s="38"/>
      <c r="B200" s="38"/>
      <c r="C200" s="39"/>
      <c r="D200" s="38"/>
      <c r="E200" s="36"/>
      <c r="F200" s="37"/>
      <c r="G200" s="38"/>
      <c r="H200" s="38"/>
      <c r="I200" s="38"/>
      <c r="J200" s="38"/>
    </row>
    <row r="201" spans="1:10" ht="15.75" customHeight="1" x14ac:dyDescent="0.25">
      <c r="A201" s="38"/>
      <c r="B201" s="38"/>
      <c r="C201" s="39"/>
      <c r="D201" s="38"/>
      <c r="E201" s="36"/>
      <c r="F201" s="37"/>
      <c r="G201" s="38"/>
      <c r="H201" s="38"/>
      <c r="I201" s="38"/>
      <c r="J201" s="38"/>
    </row>
    <row r="202" spans="1:10" ht="15.75" customHeight="1" x14ac:dyDescent="0.25">
      <c r="A202" s="38"/>
      <c r="B202" s="38"/>
      <c r="C202" s="39"/>
      <c r="D202" s="38"/>
      <c r="E202" s="36"/>
      <c r="F202" s="37"/>
      <c r="G202" s="38"/>
      <c r="H202" s="38"/>
      <c r="I202" s="38"/>
      <c r="J202" s="38"/>
    </row>
    <row r="203" spans="1:10" ht="15.75" customHeight="1" x14ac:dyDescent="0.25">
      <c r="A203" s="38"/>
      <c r="B203" s="38"/>
      <c r="C203" s="39"/>
      <c r="D203" s="38"/>
      <c r="E203" s="36"/>
      <c r="F203" s="37"/>
      <c r="G203" s="38"/>
      <c r="H203" s="38"/>
      <c r="I203" s="38"/>
      <c r="J203" s="38"/>
    </row>
    <row r="204" spans="1:10" ht="15.75" customHeight="1" x14ac:dyDescent="0.25">
      <c r="A204" s="38"/>
      <c r="B204" s="38"/>
      <c r="C204" s="39"/>
      <c r="D204" s="38"/>
      <c r="E204" s="36"/>
      <c r="F204" s="37"/>
      <c r="G204" s="38"/>
      <c r="H204" s="38"/>
      <c r="I204" s="38"/>
      <c r="J204" s="38"/>
    </row>
    <row r="205" spans="1:10" ht="15.75" customHeight="1" x14ac:dyDescent="0.25">
      <c r="A205" s="38"/>
      <c r="B205" s="38"/>
      <c r="C205" s="39"/>
      <c r="D205" s="38"/>
      <c r="E205" s="36"/>
      <c r="F205" s="37"/>
      <c r="G205" s="38"/>
      <c r="H205" s="38"/>
      <c r="I205" s="38"/>
      <c r="J205" s="38"/>
    </row>
    <row r="206" spans="1:10" ht="15.75" customHeight="1" x14ac:dyDescent="0.25">
      <c r="A206" s="38"/>
      <c r="B206" s="38"/>
      <c r="C206" s="39"/>
      <c r="D206" s="38"/>
      <c r="E206" s="36"/>
      <c r="F206" s="37"/>
      <c r="G206" s="38"/>
      <c r="H206" s="38"/>
      <c r="I206" s="38"/>
      <c r="J206" s="38"/>
    </row>
    <row r="207" spans="1:10" ht="15.75" customHeight="1" x14ac:dyDescent="0.25">
      <c r="A207" s="38"/>
      <c r="B207" s="38"/>
      <c r="C207" s="39"/>
      <c r="D207" s="38"/>
      <c r="E207" s="36"/>
      <c r="F207" s="37"/>
      <c r="G207" s="38"/>
      <c r="H207" s="38"/>
      <c r="I207" s="38"/>
      <c r="J207" s="38"/>
    </row>
    <row r="208" spans="1:10" ht="15.75" customHeight="1" x14ac:dyDescent="0.25">
      <c r="A208" s="38"/>
      <c r="B208" s="38"/>
      <c r="C208" s="39"/>
      <c r="D208" s="38"/>
      <c r="E208" s="36"/>
      <c r="F208" s="37"/>
      <c r="G208" s="38"/>
      <c r="H208" s="38"/>
      <c r="I208" s="38"/>
      <c r="J208" s="38"/>
    </row>
    <row r="209" spans="1:10" ht="15.75" customHeight="1" x14ac:dyDescent="0.25">
      <c r="A209" s="38"/>
      <c r="B209" s="38"/>
      <c r="C209" s="39"/>
      <c r="D209" s="38"/>
      <c r="E209" s="36"/>
      <c r="F209" s="37"/>
      <c r="G209" s="38"/>
      <c r="H209" s="38"/>
      <c r="I209" s="38"/>
      <c r="J209" s="38"/>
    </row>
    <row r="210" spans="1:10" ht="15.75" customHeight="1" x14ac:dyDescent="0.25">
      <c r="A210" s="38"/>
      <c r="B210" s="38"/>
      <c r="C210" s="39"/>
      <c r="D210" s="38"/>
      <c r="E210" s="36"/>
      <c r="F210" s="37"/>
      <c r="G210" s="38"/>
      <c r="H210" s="38"/>
      <c r="I210" s="38"/>
      <c r="J210" s="38"/>
    </row>
    <row r="211" spans="1:10" ht="15.75" customHeight="1" x14ac:dyDescent="0.25">
      <c r="A211" s="38"/>
      <c r="B211" s="38"/>
      <c r="C211" s="39"/>
      <c r="D211" s="38"/>
      <c r="E211" s="36"/>
      <c r="F211" s="37"/>
      <c r="G211" s="38"/>
      <c r="H211" s="38"/>
      <c r="I211" s="38"/>
      <c r="J211" s="38"/>
    </row>
    <row r="212" spans="1:10" ht="15.75" customHeight="1" x14ac:dyDescent="0.25">
      <c r="A212" s="38"/>
      <c r="B212" s="38"/>
      <c r="C212" s="39"/>
      <c r="D212" s="38"/>
      <c r="E212" s="36"/>
      <c r="F212" s="37"/>
      <c r="G212" s="38"/>
      <c r="H212" s="38"/>
      <c r="I212" s="38"/>
      <c r="J212" s="38"/>
    </row>
    <row r="213" spans="1:10" ht="15.75" customHeight="1" x14ac:dyDescent="0.25">
      <c r="A213" s="38"/>
      <c r="B213" s="38"/>
      <c r="C213" s="39"/>
      <c r="D213" s="38"/>
      <c r="E213" s="36"/>
      <c r="F213" s="37"/>
      <c r="G213" s="38"/>
      <c r="H213" s="38"/>
      <c r="I213" s="38"/>
      <c r="J213" s="38"/>
    </row>
    <row r="214" spans="1:10" ht="15.75" customHeight="1" x14ac:dyDescent="0.25">
      <c r="A214" s="38"/>
      <c r="B214" s="38"/>
      <c r="C214" s="39"/>
      <c r="D214" s="38"/>
      <c r="E214" s="36"/>
      <c r="F214" s="37"/>
      <c r="G214" s="38"/>
      <c r="H214" s="38"/>
      <c r="I214" s="38"/>
      <c r="J214" s="38"/>
    </row>
    <row r="215" spans="1:10" ht="15.75" customHeight="1" x14ac:dyDescent="0.25">
      <c r="A215" s="38"/>
      <c r="B215" s="38"/>
      <c r="C215" s="39"/>
      <c r="D215" s="38"/>
      <c r="E215" s="36"/>
      <c r="F215" s="37"/>
      <c r="G215" s="38"/>
      <c r="H215" s="38"/>
      <c r="I215" s="38"/>
      <c r="J215" s="38"/>
    </row>
    <row r="216" spans="1:10" ht="15.75" customHeight="1" x14ac:dyDescent="0.25">
      <c r="A216" s="38"/>
      <c r="B216" s="38"/>
      <c r="C216" s="39"/>
      <c r="D216" s="38"/>
      <c r="E216" s="36"/>
      <c r="F216" s="37"/>
      <c r="G216" s="38"/>
      <c r="H216" s="38"/>
      <c r="I216" s="38"/>
      <c r="J216" s="38"/>
    </row>
    <row r="217" spans="1:10" ht="15.75" customHeight="1" x14ac:dyDescent="0.25">
      <c r="A217" s="38"/>
      <c r="B217" s="38"/>
      <c r="C217" s="39"/>
      <c r="D217" s="38"/>
      <c r="E217" s="36"/>
      <c r="F217" s="37"/>
      <c r="G217" s="38"/>
      <c r="H217" s="38"/>
      <c r="I217" s="38"/>
      <c r="J217" s="38"/>
    </row>
    <row r="218" spans="1:10" ht="15.75" customHeight="1" x14ac:dyDescent="0.25">
      <c r="A218" s="38"/>
      <c r="B218" s="38"/>
      <c r="C218" s="39"/>
      <c r="D218" s="38"/>
      <c r="E218" s="36"/>
      <c r="F218" s="37"/>
      <c r="G218" s="38"/>
      <c r="H218" s="38"/>
      <c r="I218" s="38"/>
      <c r="J218" s="38"/>
    </row>
    <row r="219" spans="1:10" ht="15.75" customHeight="1" x14ac:dyDescent="0.25">
      <c r="A219" s="38"/>
      <c r="B219" s="38"/>
      <c r="C219" s="39"/>
      <c r="D219" s="38"/>
      <c r="E219" s="36"/>
      <c r="F219" s="37"/>
      <c r="G219" s="38"/>
      <c r="H219" s="38"/>
      <c r="I219" s="38"/>
      <c r="J219" s="38"/>
    </row>
    <row r="220" spans="1:10" ht="15.75" customHeight="1" x14ac:dyDescent="0.25">
      <c r="A220" s="38"/>
      <c r="B220" s="38"/>
      <c r="C220" s="39"/>
      <c r="D220" s="38"/>
      <c r="E220" s="36"/>
      <c r="F220" s="37"/>
      <c r="G220" s="38"/>
      <c r="H220" s="38"/>
      <c r="I220" s="38"/>
      <c r="J220" s="38"/>
    </row>
    <row r="221" spans="1:10" ht="15.75" customHeight="1" x14ac:dyDescent="0.25">
      <c r="A221" s="38"/>
      <c r="B221" s="38"/>
      <c r="C221" s="39"/>
      <c r="D221" s="38"/>
      <c r="E221" s="36"/>
      <c r="F221" s="37"/>
      <c r="G221" s="38"/>
      <c r="H221" s="38"/>
      <c r="I221" s="38"/>
      <c r="J221" s="38"/>
    </row>
    <row r="222" spans="1:10" ht="15.75" customHeight="1" x14ac:dyDescent="0.25">
      <c r="A222" s="38"/>
      <c r="B222" s="38"/>
      <c r="C222" s="39"/>
      <c r="D222" s="38"/>
      <c r="E222" s="36"/>
      <c r="F222" s="37"/>
      <c r="G222" s="38"/>
      <c r="H222" s="38"/>
      <c r="I222" s="38"/>
      <c r="J222" s="38"/>
    </row>
    <row r="223" spans="1:10" ht="15.75" customHeight="1" x14ac:dyDescent="0.25">
      <c r="A223" s="38"/>
      <c r="B223" s="38"/>
      <c r="C223" s="39"/>
      <c r="D223" s="38"/>
      <c r="E223" s="36"/>
      <c r="F223" s="37"/>
      <c r="G223" s="38"/>
      <c r="H223" s="38"/>
      <c r="I223" s="38"/>
      <c r="J223" s="38"/>
    </row>
    <row r="224" spans="1:10" ht="15.75" customHeight="1" x14ac:dyDescent="0.25">
      <c r="A224" s="38"/>
      <c r="B224" s="38"/>
      <c r="C224" s="39"/>
      <c r="D224" s="38"/>
      <c r="E224" s="36"/>
      <c r="F224" s="37"/>
      <c r="G224" s="38"/>
      <c r="H224" s="38"/>
      <c r="I224" s="38"/>
      <c r="J224" s="38"/>
    </row>
    <row r="225" spans="1:10" ht="15.75" customHeight="1" x14ac:dyDescent="0.25">
      <c r="A225" s="38"/>
      <c r="B225" s="38"/>
      <c r="C225" s="39"/>
      <c r="D225" s="38"/>
      <c r="E225" s="36"/>
      <c r="F225" s="37"/>
      <c r="G225" s="38"/>
      <c r="H225" s="38"/>
      <c r="I225" s="38"/>
      <c r="J225" s="38"/>
    </row>
    <row r="226" spans="1:10" ht="15.75" customHeight="1" x14ac:dyDescent="0.25">
      <c r="A226" s="38"/>
      <c r="B226" s="38"/>
      <c r="C226" s="39"/>
      <c r="D226" s="38"/>
      <c r="E226" s="36"/>
      <c r="F226" s="37"/>
      <c r="G226" s="38"/>
      <c r="H226" s="38"/>
      <c r="I226" s="38"/>
      <c r="J226" s="38"/>
    </row>
    <row r="227" spans="1:10" ht="15.75" customHeight="1" x14ac:dyDescent="0.25">
      <c r="A227" s="38"/>
      <c r="B227" s="38"/>
      <c r="C227" s="39"/>
      <c r="D227" s="38"/>
      <c r="E227" s="36"/>
      <c r="F227" s="37"/>
      <c r="G227" s="38"/>
      <c r="H227" s="38"/>
      <c r="I227" s="38"/>
      <c r="J227" s="38"/>
    </row>
    <row r="228" spans="1:10" ht="15.75" customHeight="1" x14ac:dyDescent="0.25">
      <c r="A228" s="38"/>
      <c r="B228" s="38"/>
      <c r="C228" s="39"/>
      <c r="D228" s="38"/>
      <c r="E228" s="36"/>
      <c r="F228" s="37"/>
      <c r="G228" s="38"/>
      <c r="H228" s="38"/>
      <c r="I228" s="38"/>
      <c r="J228" s="38"/>
    </row>
    <row r="229" spans="1:10" ht="15.75" customHeight="1" x14ac:dyDescent="0.25">
      <c r="A229" s="38"/>
      <c r="B229" s="38"/>
      <c r="C229" s="39"/>
      <c r="D229" s="38"/>
      <c r="E229" s="36"/>
      <c r="F229" s="37"/>
      <c r="G229" s="38"/>
      <c r="H229" s="38"/>
      <c r="I229" s="38"/>
      <c r="J229" s="38"/>
    </row>
    <row r="230" spans="1:10" ht="15.75" customHeight="1" x14ac:dyDescent="0.25">
      <c r="A230" s="38"/>
      <c r="B230" s="38"/>
      <c r="C230" s="39"/>
      <c r="D230" s="38"/>
      <c r="E230" s="36"/>
      <c r="F230" s="37"/>
      <c r="G230" s="38"/>
      <c r="H230" s="38"/>
      <c r="I230" s="38"/>
      <c r="J230" s="38"/>
    </row>
    <row r="231" spans="1:10" ht="15.75" customHeight="1" x14ac:dyDescent="0.25">
      <c r="A231" s="38"/>
      <c r="B231" s="38"/>
      <c r="C231" s="39"/>
      <c r="D231" s="38"/>
      <c r="E231" s="36"/>
      <c r="F231" s="37"/>
      <c r="G231" s="38"/>
      <c r="H231" s="38"/>
      <c r="I231" s="38"/>
      <c r="J231" s="38"/>
    </row>
    <row r="232" spans="1:10" ht="15.75" customHeight="1" x14ac:dyDescent="0.25">
      <c r="A232" s="38"/>
      <c r="B232" s="38"/>
      <c r="C232" s="39"/>
      <c r="D232" s="38"/>
      <c r="E232" s="36"/>
      <c r="F232" s="37"/>
      <c r="G232" s="38"/>
      <c r="H232" s="38"/>
      <c r="I232" s="38"/>
      <c r="J232" s="38"/>
    </row>
    <row r="233" spans="1:10" ht="15.75" customHeight="1" x14ac:dyDescent="0.25">
      <c r="A233" s="38"/>
      <c r="B233" s="38"/>
      <c r="C233" s="39"/>
      <c r="D233" s="38"/>
      <c r="E233" s="36"/>
      <c r="F233" s="37"/>
      <c r="G233" s="38"/>
      <c r="H233" s="38"/>
      <c r="I233" s="38"/>
      <c r="J233" s="38"/>
    </row>
    <row r="234" spans="1:10" ht="15.75" customHeight="1" x14ac:dyDescent="0.25">
      <c r="A234" s="38"/>
      <c r="B234" s="38"/>
      <c r="C234" s="39"/>
      <c r="D234" s="38"/>
      <c r="E234" s="36"/>
      <c r="F234" s="37"/>
      <c r="G234" s="38"/>
      <c r="H234" s="38"/>
      <c r="I234" s="38"/>
      <c r="J234" s="38"/>
    </row>
    <row r="235" spans="1:10" ht="15.75" customHeight="1" x14ac:dyDescent="0.25">
      <c r="A235" s="38"/>
      <c r="B235" s="38"/>
      <c r="C235" s="39"/>
      <c r="D235" s="38"/>
      <c r="E235" s="36"/>
      <c r="F235" s="37"/>
      <c r="G235" s="38"/>
      <c r="H235" s="38"/>
      <c r="I235" s="38"/>
      <c r="J235" s="38"/>
    </row>
    <row r="236" spans="1:10" ht="15.75" customHeight="1" x14ac:dyDescent="0.25">
      <c r="A236" s="38"/>
      <c r="B236" s="38"/>
      <c r="C236" s="39"/>
      <c r="D236" s="38"/>
      <c r="E236" s="36"/>
      <c r="F236" s="37"/>
      <c r="G236" s="38"/>
      <c r="H236" s="38"/>
      <c r="I236" s="38"/>
      <c r="J236" s="38"/>
    </row>
    <row r="237" spans="1:10" ht="15.75" customHeight="1" x14ac:dyDescent="0.25">
      <c r="A237" s="38"/>
      <c r="B237" s="38"/>
      <c r="C237" s="39"/>
      <c r="D237" s="38"/>
      <c r="E237" s="36"/>
      <c r="F237" s="37"/>
      <c r="G237" s="38"/>
      <c r="H237" s="38"/>
      <c r="I237" s="38"/>
      <c r="J237" s="38"/>
    </row>
    <row r="238" spans="1:10" ht="15.75" customHeight="1" x14ac:dyDescent="0.25">
      <c r="A238" s="38"/>
      <c r="B238" s="38"/>
      <c r="C238" s="39"/>
      <c r="D238" s="38"/>
      <c r="E238" s="36"/>
      <c r="F238" s="37"/>
      <c r="G238" s="38"/>
      <c r="H238" s="38"/>
      <c r="I238" s="38"/>
      <c r="J238" s="38"/>
    </row>
    <row r="239" spans="1:10" ht="15.75" customHeight="1" x14ac:dyDescent="0.25">
      <c r="A239" s="38"/>
      <c r="B239" s="38"/>
      <c r="C239" s="39"/>
      <c r="D239" s="38"/>
      <c r="E239" s="36"/>
      <c r="F239" s="37"/>
      <c r="G239" s="38"/>
      <c r="H239" s="38"/>
      <c r="I239" s="38"/>
      <c r="J239" s="38"/>
    </row>
    <row r="240" spans="1:10" ht="15.75" customHeight="1" x14ac:dyDescent="0.25">
      <c r="A240" s="38"/>
      <c r="B240" s="38"/>
      <c r="C240" s="39"/>
      <c r="D240" s="38"/>
      <c r="E240" s="36"/>
      <c r="F240" s="37"/>
      <c r="G240" s="38"/>
      <c r="H240" s="38"/>
      <c r="I240" s="38"/>
      <c r="J240" s="38"/>
    </row>
    <row r="241" spans="1:10" ht="15.75" customHeight="1" x14ac:dyDescent="0.25">
      <c r="A241" s="38"/>
      <c r="B241" s="38"/>
      <c r="C241" s="39"/>
      <c r="D241" s="38"/>
      <c r="E241" s="36"/>
      <c r="F241" s="37"/>
      <c r="G241" s="38"/>
      <c r="H241" s="38"/>
      <c r="I241" s="38"/>
      <c r="J241" s="38"/>
    </row>
    <row r="242" spans="1:10" ht="15.75" customHeight="1" x14ac:dyDescent="0.25">
      <c r="A242" s="38"/>
      <c r="B242" s="38"/>
      <c r="C242" s="39"/>
      <c r="D242" s="38"/>
      <c r="E242" s="36"/>
      <c r="F242" s="37"/>
      <c r="G242" s="38"/>
      <c r="H242" s="38"/>
      <c r="I242" s="38"/>
      <c r="J242" s="38"/>
    </row>
    <row r="243" spans="1:10" ht="15.75" customHeight="1" x14ac:dyDescent="0.25">
      <c r="A243" s="38"/>
      <c r="B243" s="38"/>
      <c r="C243" s="39"/>
      <c r="D243" s="38"/>
      <c r="E243" s="36"/>
      <c r="F243" s="37"/>
      <c r="G243" s="38"/>
      <c r="H243" s="38"/>
      <c r="I243" s="38"/>
      <c r="J243" s="38"/>
    </row>
    <row r="244" spans="1:10" ht="15.75" customHeight="1" x14ac:dyDescent="0.25">
      <c r="A244" s="38"/>
      <c r="B244" s="38"/>
      <c r="C244" s="39"/>
      <c r="D244" s="38"/>
      <c r="E244" s="36"/>
      <c r="F244" s="37"/>
      <c r="G244" s="38"/>
      <c r="H244" s="38"/>
      <c r="I244" s="38"/>
      <c r="J244" s="38"/>
    </row>
    <row r="245" spans="1:10" ht="15.75" customHeight="1" x14ac:dyDescent="0.25">
      <c r="A245" s="38"/>
      <c r="B245" s="38"/>
      <c r="C245" s="39"/>
      <c r="D245" s="38"/>
      <c r="E245" s="36"/>
      <c r="F245" s="37"/>
      <c r="G245" s="38"/>
      <c r="H245" s="38"/>
      <c r="I245" s="38"/>
      <c r="J245" s="38"/>
    </row>
    <row r="246" spans="1:10" ht="15.75" customHeight="1" x14ac:dyDescent="0.25">
      <c r="E246" s="36"/>
      <c r="F246" s="37"/>
    </row>
    <row r="247" spans="1:10" ht="15.75" customHeight="1" x14ac:dyDescent="0.25">
      <c r="E247" s="36"/>
      <c r="F247" s="37"/>
    </row>
    <row r="248" spans="1:10" ht="15.75" customHeight="1" x14ac:dyDescent="0.25">
      <c r="E248" s="36"/>
      <c r="F248" s="37"/>
    </row>
    <row r="249" spans="1:10" ht="15.75" customHeight="1" x14ac:dyDescent="0.25">
      <c r="E249" s="36"/>
      <c r="F249" s="37"/>
    </row>
    <row r="250" spans="1:10" ht="15.75" customHeight="1" x14ac:dyDescent="0.25">
      <c r="E250" s="36"/>
      <c r="F250" s="37"/>
    </row>
    <row r="251" spans="1:10" ht="15.75" customHeight="1" x14ac:dyDescent="0.25">
      <c r="E251" s="36"/>
      <c r="F251" s="37"/>
    </row>
    <row r="252" spans="1:10" ht="15.75" customHeight="1" x14ac:dyDescent="0.25">
      <c r="E252" s="36"/>
      <c r="F252" s="37"/>
    </row>
    <row r="253" spans="1:10" ht="15.75" customHeight="1" x14ac:dyDescent="0.25">
      <c r="E253" s="36"/>
      <c r="F253" s="37"/>
    </row>
    <row r="254" spans="1:10" ht="15.75" customHeight="1" x14ac:dyDescent="0.25">
      <c r="E254" s="36"/>
      <c r="F254" s="37"/>
    </row>
    <row r="255" spans="1:10" ht="15.75" customHeight="1" x14ac:dyDescent="0.25">
      <c r="E255" s="36"/>
      <c r="F255" s="37"/>
    </row>
    <row r="256" spans="1:10" ht="15.75" customHeight="1" x14ac:dyDescent="0.25">
      <c r="E256" s="36"/>
      <c r="F256" s="37"/>
    </row>
    <row r="257" spans="5:6" ht="15.75" customHeight="1" x14ac:dyDescent="0.25">
      <c r="E257" s="36"/>
      <c r="F257" s="37"/>
    </row>
    <row r="258" spans="5:6" ht="15.75" customHeight="1" x14ac:dyDescent="0.25">
      <c r="E258" s="36"/>
      <c r="F258" s="37"/>
    </row>
    <row r="259" spans="5:6" ht="15.75" customHeight="1" x14ac:dyDescent="0.25">
      <c r="E259" s="36"/>
      <c r="F259" s="37"/>
    </row>
    <row r="260" spans="5:6" ht="15.75" customHeight="1" x14ac:dyDescent="0.25">
      <c r="E260" s="36"/>
      <c r="F260" s="37"/>
    </row>
    <row r="261" spans="5:6" ht="15.75" customHeight="1" x14ac:dyDescent="0.25">
      <c r="E261" s="36"/>
      <c r="F261" s="37"/>
    </row>
    <row r="262" spans="5:6" ht="15.75" customHeight="1" x14ac:dyDescent="0.25">
      <c r="E262" s="36"/>
      <c r="F262" s="37"/>
    </row>
    <row r="263" spans="5:6" ht="15.75" customHeight="1" x14ac:dyDescent="0.25">
      <c r="E263" s="36"/>
      <c r="F263" s="37"/>
    </row>
    <row r="264" spans="5:6" ht="15.75" customHeight="1" x14ac:dyDescent="0.25">
      <c r="E264" s="36"/>
      <c r="F264" s="37"/>
    </row>
    <row r="265" spans="5:6" ht="15.75" customHeight="1" x14ac:dyDescent="0.25">
      <c r="E265" s="36"/>
      <c r="F265" s="37"/>
    </row>
    <row r="266" spans="5:6" ht="15.75" customHeight="1" x14ac:dyDescent="0.25">
      <c r="E266" s="36"/>
      <c r="F266" s="37"/>
    </row>
    <row r="267" spans="5:6" ht="15.75" customHeight="1" x14ac:dyDescent="0.25">
      <c r="E267" s="36"/>
      <c r="F267" s="37"/>
    </row>
    <row r="268" spans="5:6" ht="15.75" customHeight="1" x14ac:dyDescent="0.25">
      <c r="E268" s="36"/>
      <c r="F268" s="37"/>
    </row>
    <row r="269" spans="5:6" ht="15.75" customHeight="1" x14ac:dyDescent="0.25">
      <c r="E269" s="36"/>
      <c r="F269" s="37"/>
    </row>
    <row r="270" spans="5:6" ht="15.75" customHeight="1" x14ac:dyDescent="0.25">
      <c r="E270" s="36"/>
      <c r="F270" s="37"/>
    </row>
    <row r="271" spans="5:6" ht="15.75" customHeight="1" x14ac:dyDescent="0.25">
      <c r="E271" s="36"/>
      <c r="F271" s="37"/>
    </row>
    <row r="272" spans="5:6" ht="15.75" customHeight="1" x14ac:dyDescent="0.25">
      <c r="E272" s="36"/>
      <c r="F272" s="37"/>
    </row>
    <row r="273" spans="5:6" ht="15.75" customHeight="1" x14ac:dyDescent="0.25">
      <c r="E273" s="36"/>
      <c r="F273" s="37"/>
    </row>
    <row r="274" spans="5:6" ht="15.75" customHeight="1" x14ac:dyDescent="0.25">
      <c r="E274" s="36"/>
      <c r="F274" s="37"/>
    </row>
    <row r="275" spans="5:6" ht="15.75" customHeight="1" x14ac:dyDescent="0.25">
      <c r="E275" s="36"/>
      <c r="F275" s="37"/>
    </row>
    <row r="276" spans="5:6" ht="15.75" customHeight="1" x14ac:dyDescent="0.25">
      <c r="E276" s="36"/>
      <c r="F276" s="37"/>
    </row>
    <row r="277" spans="5:6" ht="15.75" customHeight="1" x14ac:dyDescent="0.25">
      <c r="E277" s="36"/>
      <c r="F277" s="37"/>
    </row>
    <row r="278" spans="5:6" ht="15.75" customHeight="1" x14ac:dyDescent="0.25">
      <c r="E278" s="36"/>
      <c r="F278" s="37"/>
    </row>
    <row r="279" spans="5:6" ht="15.75" customHeight="1" x14ac:dyDescent="0.25">
      <c r="E279" s="36"/>
      <c r="F279" s="37"/>
    </row>
    <row r="280" spans="5:6" ht="15.75" customHeight="1" x14ac:dyDescent="0.25">
      <c r="E280" s="36"/>
      <c r="F280" s="37"/>
    </row>
    <row r="281" spans="5:6" ht="15.75" customHeight="1" x14ac:dyDescent="0.25">
      <c r="E281" s="36"/>
      <c r="F281" s="37"/>
    </row>
    <row r="282" spans="5:6" ht="15.75" customHeight="1" x14ac:dyDescent="0.25">
      <c r="E282" s="36"/>
      <c r="F282" s="37"/>
    </row>
    <row r="283" spans="5:6" ht="15.75" customHeight="1" x14ac:dyDescent="0.25">
      <c r="E283" s="36"/>
      <c r="F283" s="37"/>
    </row>
    <row r="284" spans="5:6" ht="15.75" customHeight="1" x14ac:dyDescent="0.25">
      <c r="E284" s="36"/>
      <c r="F284" s="37"/>
    </row>
    <row r="285" spans="5:6" ht="15.75" customHeight="1" x14ac:dyDescent="0.25">
      <c r="E285" s="36"/>
      <c r="F285" s="37"/>
    </row>
    <row r="286" spans="5:6" ht="15.75" customHeight="1" x14ac:dyDescent="0.25">
      <c r="E286" s="36"/>
      <c r="F286" s="37"/>
    </row>
    <row r="287" spans="5:6" ht="15.75" customHeight="1" x14ac:dyDescent="0.25">
      <c r="E287" s="36"/>
      <c r="F287" s="37"/>
    </row>
    <row r="288" spans="5:6" ht="15.75" customHeight="1" x14ac:dyDescent="0.25">
      <c r="E288" s="36"/>
      <c r="F288" s="37"/>
    </row>
    <row r="289" spans="5:6" ht="15.75" customHeight="1" x14ac:dyDescent="0.25">
      <c r="E289" s="36"/>
      <c r="F289" s="37"/>
    </row>
    <row r="290" spans="5:6" ht="15.75" customHeight="1" x14ac:dyDescent="0.25">
      <c r="E290" s="36"/>
      <c r="F290" s="37"/>
    </row>
    <row r="291" spans="5:6" ht="15.75" customHeight="1" x14ac:dyDescent="0.25">
      <c r="E291" s="36"/>
      <c r="F291" s="37"/>
    </row>
    <row r="292" spans="5:6" ht="15.75" customHeight="1" x14ac:dyDescent="0.25">
      <c r="E292" s="36"/>
      <c r="F292" s="37"/>
    </row>
    <row r="293" spans="5:6" ht="15.75" customHeight="1" x14ac:dyDescent="0.25">
      <c r="E293" s="36"/>
      <c r="F293" s="37"/>
    </row>
    <row r="294" spans="5:6" ht="15.75" customHeight="1" x14ac:dyDescent="0.25">
      <c r="E294" s="36"/>
      <c r="F294" s="37"/>
    </row>
    <row r="295" spans="5:6" ht="15.75" customHeight="1" x14ac:dyDescent="0.25">
      <c r="E295" s="36"/>
      <c r="F295" s="37"/>
    </row>
    <row r="296" spans="5:6" ht="15.75" customHeight="1" x14ac:dyDescent="0.25">
      <c r="E296" s="36"/>
      <c r="F296" s="37"/>
    </row>
    <row r="297" spans="5:6" ht="15.75" customHeight="1" x14ac:dyDescent="0.25">
      <c r="E297" s="36"/>
      <c r="F297" s="37"/>
    </row>
    <row r="298" spans="5:6" ht="15.75" customHeight="1" x14ac:dyDescent="0.25">
      <c r="E298" s="36"/>
      <c r="F298" s="37"/>
    </row>
    <row r="299" spans="5:6" ht="15.75" customHeight="1" x14ac:dyDescent="0.25">
      <c r="E299" s="36"/>
      <c r="F299" s="37"/>
    </row>
    <row r="300" spans="5:6" ht="15.75" customHeight="1" x14ac:dyDescent="0.25">
      <c r="E300" s="36"/>
      <c r="F300" s="37"/>
    </row>
    <row r="301" spans="5:6" ht="15.75" customHeight="1" x14ac:dyDescent="0.25">
      <c r="E301" s="36"/>
      <c r="F301" s="37"/>
    </row>
    <row r="302" spans="5:6" ht="15.75" customHeight="1" x14ac:dyDescent="0.25">
      <c r="E302" s="36"/>
      <c r="F302" s="37"/>
    </row>
    <row r="303" spans="5:6" ht="15.75" customHeight="1" x14ac:dyDescent="0.25">
      <c r="E303" s="36"/>
      <c r="F303" s="37"/>
    </row>
    <row r="304" spans="5:6" ht="15.75" customHeight="1" x14ac:dyDescent="0.25">
      <c r="E304" s="36"/>
      <c r="F304" s="37"/>
    </row>
    <row r="305" spans="5:6" ht="15.75" customHeight="1" x14ac:dyDescent="0.25">
      <c r="E305" s="36"/>
      <c r="F305" s="37"/>
    </row>
    <row r="306" spans="5:6" ht="15.75" customHeight="1" x14ac:dyDescent="0.25">
      <c r="E306" s="36"/>
      <c r="F306" s="37"/>
    </row>
    <row r="307" spans="5:6" ht="15.75" customHeight="1" x14ac:dyDescent="0.25">
      <c r="E307" s="36"/>
      <c r="F307" s="37"/>
    </row>
    <row r="308" spans="5:6" ht="15.75" customHeight="1" x14ac:dyDescent="0.25">
      <c r="E308" s="36"/>
      <c r="F308" s="37"/>
    </row>
    <row r="309" spans="5:6" ht="15.75" customHeight="1" x14ac:dyDescent="0.25">
      <c r="E309" s="36"/>
      <c r="F309" s="37"/>
    </row>
    <row r="310" spans="5:6" ht="15.75" customHeight="1" x14ac:dyDescent="0.25">
      <c r="E310" s="36"/>
      <c r="F310" s="37"/>
    </row>
    <row r="311" spans="5:6" ht="15.75" customHeight="1" x14ac:dyDescent="0.25">
      <c r="E311" s="36"/>
      <c r="F311" s="37"/>
    </row>
    <row r="312" spans="5:6" ht="15.75" customHeight="1" x14ac:dyDescent="0.25">
      <c r="E312" s="36"/>
      <c r="F312" s="37"/>
    </row>
    <row r="313" spans="5:6" ht="15.75" customHeight="1" x14ac:dyDescent="0.25">
      <c r="E313" s="36"/>
      <c r="F313" s="37"/>
    </row>
    <row r="314" spans="5:6" ht="15.75" customHeight="1" x14ac:dyDescent="0.25">
      <c r="E314" s="36"/>
      <c r="F314" s="37"/>
    </row>
    <row r="315" spans="5:6" ht="15.75" customHeight="1" x14ac:dyDescent="0.25">
      <c r="E315" s="36"/>
      <c r="F315" s="37"/>
    </row>
    <row r="316" spans="5:6" ht="15.75" customHeight="1" x14ac:dyDescent="0.25">
      <c r="E316" s="36"/>
      <c r="F316" s="37"/>
    </row>
    <row r="317" spans="5:6" ht="15.75" customHeight="1" x14ac:dyDescent="0.25">
      <c r="E317" s="36"/>
      <c r="F317" s="37"/>
    </row>
    <row r="318" spans="5:6" ht="15.75" customHeight="1" x14ac:dyDescent="0.25">
      <c r="E318" s="36"/>
      <c r="F318" s="37"/>
    </row>
    <row r="319" spans="5:6" ht="15.75" customHeight="1" x14ac:dyDescent="0.25">
      <c r="E319" s="36"/>
      <c r="F319" s="37"/>
    </row>
    <row r="320" spans="5:6" ht="15.75" customHeight="1" x14ac:dyDescent="0.25">
      <c r="E320" s="36"/>
      <c r="F320" s="37"/>
    </row>
    <row r="321" spans="5:6" ht="15.75" customHeight="1" x14ac:dyDescent="0.25">
      <c r="E321" s="36"/>
      <c r="F321" s="37"/>
    </row>
    <row r="322" spans="5:6" ht="15.75" customHeight="1" x14ac:dyDescent="0.25">
      <c r="E322" s="36"/>
      <c r="F322" s="37"/>
    </row>
    <row r="323" spans="5:6" ht="15.75" customHeight="1" x14ac:dyDescent="0.25">
      <c r="E323" s="36"/>
      <c r="F323" s="37"/>
    </row>
    <row r="324" spans="5:6" ht="15.75" customHeight="1" x14ac:dyDescent="0.25">
      <c r="E324" s="36"/>
      <c r="F324" s="37"/>
    </row>
    <row r="325" spans="5:6" ht="15.75" customHeight="1" x14ac:dyDescent="0.25">
      <c r="E325" s="36"/>
      <c r="F325" s="37"/>
    </row>
    <row r="326" spans="5:6" ht="15.75" customHeight="1" x14ac:dyDescent="0.25">
      <c r="E326" s="36"/>
      <c r="F326" s="37"/>
    </row>
    <row r="327" spans="5:6" ht="15.75" customHeight="1" x14ac:dyDescent="0.25">
      <c r="E327" s="36"/>
      <c r="F327" s="37"/>
    </row>
    <row r="328" spans="5:6" ht="15.75" customHeight="1" x14ac:dyDescent="0.25">
      <c r="E328" s="36"/>
      <c r="F328" s="37"/>
    </row>
    <row r="329" spans="5:6" ht="15.75" customHeight="1" x14ac:dyDescent="0.25">
      <c r="E329" s="36"/>
      <c r="F329" s="37"/>
    </row>
    <row r="330" spans="5:6" ht="15.75" customHeight="1" x14ac:dyDescent="0.25">
      <c r="E330" s="36"/>
      <c r="F330" s="37"/>
    </row>
    <row r="331" spans="5:6" ht="15.75" customHeight="1" x14ac:dyDescent="0.25">
      <c r="E331" s="36"/>
      <c r="F331" s="37"/>
    </row>
    <row r="332" spans="5:6" ht="15.75" customHeight="1" x14ac:dyDescent="0.25">
      <c r="E332" s="36"/>
      <c r="F332" s="37"/>
    </row>
    <row r="333" spans="5:6" ht="15.75" customHeight="1" x14ac:dyDescent="0.25">
      <c r="E333" s="36"/>
      <c r="F333" s="37"/>
    </row>
    <row r="334" spans="5:6" ht="15.75" customHeight="1" x14ac:dyDescent="0.25">
      <c r="E334" s="36"/>
      <c r="F334" s="37"/>
    </row>
    <row r="335" spans="5:6" ht="15.75" customHeight="1" x14ac:dyDescent="0.25">
      <c r="E335" s="36"/>
      <c r="F335" s="37"/>
    </row>
    <row r="336" spans="5:6" ht="15.75" customHeight="1" x14ac:dyDescent="0.25">
      <c r="E336" s="36"/>
      <c r="F336" s="37"/>
    </row>
    <row r="337" spans="5:6" ht="15.75" customHeight="1" x14ac:dyDescent="0.25">
      <c r="E337" s="36"/>
      <c r="F337" s="37"/>
    </row>
    <row r="338" spans="5:6" ht="15.75" customHeight="1" x14ac:dyDescent="0.25">
      <c r="E338" s="36"/>
      <c r="F338" s="37"/>
    </row>
    <row r="339" spans="5:6" ht="15.75" customHeight="1" x14ac:dyDescent="0.25">
      <c r="E339" s="36"/>
      <c r="F339" s="37"/>
    </row>
    <row r="340" spans="5:6" ht="15.75" customHeight="1" x14ac:dyDescent="0.25">
      <c r="E340" s="36"/>
      <c r="F340" s="37"/>
    </row>
    <row r="341" spans="5:6" ht="15.75" customHeight="1" x14ac:dyDescent="0.25">
      <c r="E341" s="36"/>
      <c r="F341" s="37"/>
    </row>
    <row r="342" spans="5:6" ht="15.75" customHeight="1" x14ac:dyDescent="0.25">
      <c r="E342" s="36"/>
      <c r="F342" s="37"/>
    </row>
    <row r="343" spans="5:6" ht="15.75" customHeight="1" x14ac:dyDescent="0.25">
      <c r="E343" s="36"/>
      <c r="F343" s="37"/>
    </row>
    <row r="344" spans="5:6" ht="15.75" customHeight="1" x14ac:dyDescent="0.25">
      <c r="E344" s="36"/>
      <c r="F344" s="37"/>
    </row>
    <row r="345" spans="5:6" ht="15.75" customHeight="1" x14ac:dyDescent="0.25">
      <c r="E345" s="36"/>
      <c r="F345" s="37"/>
    </row>
    <row r="346" spans="5:6" ht="15.75" customHeight="1" x14ac:dyDescent="0.25">
      <c r="E346" s="36"/>
      <c r="F346" s="37"/>
    </row>
    <row r="347" spans="5:6" ht="15.75" customHeight="1" x14ac:dyDescent="0.25">
      <c r="E347" s="36"/>
      <c r="F347" s="37"/>
    </row>
    <row r="348" spans="5:6" ht="15.75" customHeight="1" x14ac:dyDescent="0.25">
      <c r="E348" s="36"/>
      <c r="F348" s="37"/>
    </row>
    <row r="349" spans="5:6" ht="15.75" customHeight="1" x14ac:dyDescent="0.25">
      <c r="E349" s="36"/>
      <c r="F349" s="37"/>
    </row>
    <row r="350" spans="5:6" ht="15.75" customHeight="1" x14ac:dyDescent="0.25">
      <c r="E350" s="36"/>
      <c r="F350" s="37"/>
    </row>
    <row r="351" spans="5:6" ht="15.75" customHeight="1" x14ac:dyDescent="0.25">
      <c r="E351" s="36"/>
      <c r="F351" s="37"/>
    </row>
    <row r="352" spans="5:6" ht="15.75" customHeight="1" x14ac:dyDescent="0.25">
      <c r="E352" s="36"/>
      <c r="F352" s="37"/>
    </row>
    <row r="353" spans="5:6" ht="15.75" customHeight="1" x14ac:dyDescent="0.25">
      <c r="E353" s="36"/>
      <c r="F353" s="37"/>
    </row>
    <row r="354" spans="5:6" ht="15.75" customHeight="1" x14ac:dyDescent="0.25">
      <c r="E354" s="36"/>
      <c r="F354" s="37"/>
    </row>
    <row r="355" spans="5:6" ht="15.75" customHeight="1" x14ac:dyDescent="0.25">
      <c r="E355" s="36"/>
      <c r="F355" s="37"/>
    </row>
    <row r="356" spans="5:6" ht="15.75" customHeight="1" x14ac:dyDescent="0.25">
      <c r="E356" s="36"/>
      <c r="F356" s="37"/>
    </row>
    <row r="357" spans="5:6" ht="15.75" customHeight="1" x14ac:dyDescent="0.25">
      <c r="E357" s="36"/>
      <c r="F357" s="37"/>
    </row>
    <row r="358" spans="5:6" ht="15.75" customHeight="1" x14ac:dyDescent="0.25">
      <c r="E358" s="36"/>
      <c r="F358" s="37"/>
    </row>
    <row r="359" spans="5:6" ht="15.75" customHeight="1" x14ac:dyDescent="0.25">
      <c r="E359" s="36"/>
      <c r="F359" s="37"/>
    </row>
    <row r="360" spans="5:6" ht="15.75" customHeight="1" x14ac:dyDescent="0.25">
      <c r="E360" s="36"/>
      <c r="F360" s="37"/>
    </row>
    <row r="361" spans="5:6" ht="15.75" customHeight="1" x14ac:dyDescent="0.25">
      <c r="E361" s="36"/>
      <c r="F361" s="37"/>
    </row>
    <row r="362" spans="5:6" ht="15.75" customHeight="1" x14ac:dyDescent="0.25">
      <c r="E362" s="36"/>
      <c r="F362" s="37"/>
    </row>
    <row r="363" spans="5:6" ht="15.75" customHeight="1" x14ac:dyDescent="0.25">
      <c r="E363" s="36"/>
      <c r="F363" s="37"/>
    </row>
    <row r="364" spans="5:6" ht="15.75" customHeight="1" x14ac:dyDescent="0.25">
      <c r="E364" s="36"/>
      <c r="F364" s="37"/>
    </row>
    <row r="365" spans="5:6" ht="15.75" customHeight="1" x14ac:dyDescent="0.25">
      <c r="E365" s="36"/>
      <c r="F365" s="37"/>
    </row>
    <row r="366" spans="5:6" ht="15.75" customHeight="1" x14ac:dyDescent="0.25">
      <c r="E366" s="36"/>
      <c r="F366" s="37"/>
    </row>
    <row r="367" spans="5:6" ht="15.75" customHeight="1" x14ac:dyDescent="0.25">
      <c r="E367" s="36"/>
      <c r="F367" s="37"/>
    </row>
    <row r="368" spans="5:6" ht="15.75" customHeight="1" x14ac:dyDescent="0.25">
      <c r="E368" s="36"/>
      <c r="F368" s="37"/>
    </row>
    <row r="369" spans="5:6" ht="15.75" customHeight="1" x14ac:dyDescent="0.25">
      <c r="E369" s="36"/>
      <c r="F369" s="37"/>
    </row>
    <row r="370" spans="5:6" ht="15.75" customHeight="1" x14ac:dyDescent="0.25">
      <c r="E370" s="36"/>
      <c r="F370" s="37"/>
    </row>
    <row r="371" spans="5:6" ht="15.75" customHeight="1" x14ac:dyDescent="0.25">
      <c r="E371" s="36"/>
      <c r="F371" s="37"/>
    </row>
    <row r="372" spans="5:6" ht="15.75" customHeight="1" x14ac:dyDescent="0.25">
      <c r="E372" s="36"/>
      <c r="F372" s="37"/>
    </row>
    <row r="373" spans="5:6" ht="15.75" customHeight="1" x14ac:dyDescent="0.25">
      <c r="E373" s="36"/>
      <c r="F373" s="37"/>
    </row>
    <row r="374" spans="5:6" ht="15.75" customHeight="1" x14ac:dyDescent="0.25">
      <c r="E374" s="36"/>
      <c r="F374" s="37"/>
    </row>
    <row r="375" spans="5:6" ht="15.75" customHeight="1" x14ac:dyDescent="0.25">
      <c r="E375" s="36"/>
      <c r="F375" s="37"/>
    </row>
    <row r="376" spans="5:6" ht="15.75" customHeight="1" x14ac:dyDescent="0.25">
      <c r="E376" s="36"/>
      <c r="F376" s="37"/>
    </row>
    <row r="377" spans="5:6" ht="15.75" customHeight="1" x14ac:dyDescent="0.25">
      <c r="E377" s="36"/>
      <c r="F377" s="37"/>
    </row>
    <row r="378" spans="5:6" ht="15.75" customHeight="1" x14ac:dyDescent="0.25">
      <c r="E378" s="36"/>
      <c r="F378" s="37"/>
    </row>
    <row r="379" spans="5:6" ht="15.75" customHeight="1" x14ac:dyDescent="0.25">
      <c r="E379" s="36"/>
      <c r="F379" s="37"/>
    </row>
    <row r="380" spans="5:6" ht="15.75" customHeight="1" x14ac:dyDescent="0.25">
      <c r="E380" s="36"/>
      <c r="F380" s="37"/>
    </row>
    <row r="381" spans="5:6" ht="15.75" customHeight="1" x14ac:dyDescent="0.25">
      <c r="E381" s="36"/>
      <c r="F381" s="37"/>
    </row>
    <row r="382" spans="5:6" ht="15.75" customHeight="1" x14ac:dyDescent="0.25">
      <c r="E382" s="36"/>
      <c r="F382" s="37"/>
    </row>
    <row r="383" spans="5:6" ht="15.75" customHeight="1" x14ac:dyDescent="0.25">
      <c r="E383" s="36"/>
      <c r="F383" s="37"/>
    </row>
    <row r="384" spans="5:6" ht="15.75" customHeight="1" x14ac:dyDescent="0.25">
      <c r="E384" s="36"/>
      <c r="F384" s="37"/>
    </row>
    <row r="385" spans="5:6" ht="15.75" customHeight="1" x14ac:dyDescent="0.25">
      <c r="E385" s="36"/>
      <c r="F385" s="37"/>
    </row>
    <row r="386" spans="5:6" ht="15.75" customHeight="1" x14ac:dyDescent="0.25">
      <c r="E386" s="36"/>
      <c r="F386" s="37"/>
    </row>
    <row r="387" spans="5:6" ht="15.75" customHeight="1" x14ac:dyDescent="0.25">
      <c r="E387" s="36"/>
      <c r="F387" s="37"/>
    </row>
    <row r="388" spans="5:6" ht="15.75" customHeight="1" x14ac:dyDescent="0.25">
      <c r="E388" s="36"/>
      <c r="F388" s="37"/>
    </row>
    <row r="389" spans="5:6" ht="15.75" customHeight="1" x14ac:dyDescent="0.25">
      <c r="E389" s="36"/>
      <c r="F389" s="37"/>
    </row>
    <row r="390" spans="5:6" ht="15.75" customHeight="1" x14ac:dyDescent="0.25">
      <c r="E390" s="36"/>
      <c r="F390" s="37"/>
    </row>
    <row r="391" spans="5:6" ht="15.75" customHeight="1" x14ac:dyDescent="0.25">
      <c r="E391" s="36"/>
      <c r="F391" s="37"/>
    </row>
    <row r="392" spans="5:6" ht="15.75" customHeight="1" x14ac:dyDescent="0.25">
      <c r="E392" s="36"/>
      <c r="F392" s="37"/>
    </row>
    <row r="393" spans="5:6" ht="15.75" customHeight="1" x14ac:dyDescent="0.25">
      <c r="E393" s="36"/>
      <c r="F393" s="37"/>
    </row>
    <row r="394" spans="5:6" ht="15.75" customHeight="1" x14ac:dyDescent="0.25">
      <c r="E394" s="36"/>
      <c r="F394" s="37"/>
    </row>
    <row r="395" spans="5:6" ht="15.75" customHeight="1" x14ac:dyDescent="0.25">
      <c r="E395" s="36"/>
      <c r="F395" s="37"/>
    </row>
    <row r="396" spans="5:6" ht="15.75" customHeight="1" x14ac:dyDescent="0.25">
      <c r="E396" s="36"/>
      <c r="F396" s="37"/>
    </row>
    <row r="397" spans="5:6" ht="15.75" customHeight="1" x14ac:dyDescent="0.25">
      <c r="E397" s="36"/>
      <c r="F397" s="37"/>
    </row>
    <row r="398" spans="5:6" ht="15.75" customHeight="1" x14ac:dyDescent="0.25">
      <c r="E398" s="36"/>
      <c r="F398" s="37"/>
    </row>
    <row r="399" spans="5:6" ht="15.75" customHeight="1" x14ac:dyDescent="0.25">
      <c r="E399" s="36"/>
      <c r="F399" s="37"/>
    </row>
    <row r="400" spans="5:6" ht="15.75" customHeight="1" x14ac:dyDescent="0.25">
      <c r="E400" s="36"/>
      <c r="F400" s="37"/>
    </row>
    <row r="401" spans="5:6" ht="15.75" customHeight="1" x14ac:dyDescent="0.25">
      <c r="E401" s="36"/>
      <c r="F401" s="37"/>
    </row>
    <row r="402" spans="5:6" ht="15.75" customHeight="1" x14ac:dyDescent="0.25">
      <c r="E402" s="36"/>
      <c r="F402" s="37"/>
    </row>
    <row r="403" spans="5:6" ht="15.75" customHeight="1" x14ac:dyDescent="0.25">
      <c r="E403" s="36"/>
      <c r="F403" s="37"/>
    </row>
    <row r="404" spans="5:6" ht="15.75" customHeight="1" x14ac:dyDescent="0.25">
      <c r="E404" s="36"/>
      <c r="F404" s="37"/>
    </row>
    <row r="405" spans="5:6" ht="15.75" customHeight="1" x14ac:dyDescent="0.25">
      <c r="E405" s="36"/>
      <c r="F405" s="37"/>
    </row>
    <row r="406" spans="5:6" ht="15.75" customHeight="1" x14ac:dyDescent="0.25">
      <c r="E406" s="36"/>
      <c r="F406" s="37"/>
    </row>
    <row r="407" spans="5:6" ht="15.75" customHeight="1" x14ac:dyDescent="0.25">
      <c r="E407" s="36"/>
      <c r="F407" s="37"/>
    </row>
    <row r="408" spans="5:6" ht="15.75" customHeight="1" x14ac:dyDescent="0.25">
      <c r="E408" s="36"/>
      <c r="F408" s="37"/>
    </row>
    <row r="409" spans="5:6" ht="15.75" customHeight="1" x14ac:dyDescent="0.25">
      <c r="E409" s="36"/>
      <c r="F409" s="37"/>
    </row>
    <row r="410" spans="5:6" ht="15.75" customHeight="1" x14ac:dyDescent="0.25">
      <c r="E410" s="36"/>
      <c r="F410" s="37"/>
    </row>
    <row r="411" spans="5:6" ht="15.75" customHeight="1" x14ac:dyDescent="0.25">
      <c r="E411" s="36"/>
      <c r="F411" s="37"/>
    </row>
    <row r="412" spans="5:6" ht="15.75" customHeight="1" x14ac:dyDescent="0.25">
      <c r="E412" s="36"/>
      <c r="F412" s="37"/>
    </row>
    <row r="413" spans="5:6" ht="15.75" customHeight="1" x14ac:dyDescent="0.25">
      <c r="E413" s="36"/>
      <c r="F413" s="37"/>
    </row>
    <row r="414" spans="5:6" ht="15.75" customHeight="1" x14ac:dyDescent="0.25">
      <c r="E414" s="36"/>
      <c r="F414" s="37"/>
    </row>
    <row r="415" spans="5:6" ht="15.75" customHeight="1" x14ac:dyDescent="0.25">
      <c r="E415" s="36"/>
      <c r="F415" s="37"/>
    </row>
    <row r="416" spans="5:6" ht="15.75" customHeight="1" x14ac:dyDescent="0.25">
      <c r="E416" s="36"/>
      <c r="F416" s="37"/>
    </row>
    <row r="417" spans="5:6" ht="15.75" customHeight="1" x14ac:dyDescent="0.25">
      <c r="E417" s="36"/>
      <c r="F417" s="37"/>
    </row>
    <row r="418" spans="5:6" ht="15.75" customHeight="1" x14ac:dyDescent="0.25">
      <c r="E418" s="36"/>
      <c r="F418" s="37"/>
    </row>
    <row r="419" spans="5:6" ht="15.75" customHeight="1" x14ac:dyDescent="0.25">
      <c r="E419" s="36"/>
      <c r="F419" s="37"/>
    </row>
    <row r="420" spans="5:6" ht="15.75" customHeight="1" x14ac:dyDescent="0.25">
      <c r="E420" s="36"/>
      <c r="F420" s="37"/>
    </row>
    <row r="421" spans="5:6" ht="15.75" customHeight="1" x14ac:dyDescent="0.25">
      <c r="E421" s="36"/>
      <c r="F421" s="37"/>
    </row>
    <row r="422" spans="5:6" ht="15.75" customHeight="1" x14ac:dyDescent="0.25">
      <c r="E422" s="36"/>
      <c r="F422" s="37"/>
    </row>
    <row r="423" spans="5:6" ht="15.75" customHeight="1" x14ac:dyDescent="0.25">
      <c r="E423" s="36"/>
      <c r="F423" s="37"/>
    </row>
    <row r="424" spans="5:6" ht="15.75" customHeight="1" x14ac:dyDescent="0.25">
      <c r="E424" s="36"/>
      <c r="F424" s="37"/>
    </row>
    <row r="425" spans="5:6" ht="15.75" customHeight="1" x14ac:dyDescent="0.25">
      <c r="E425" s="36"/>
      <c r="F425" s="37"/>
    </row>
    <row r="426" spans="5:6" ht="15.75" customHeight="1" x14ac:dyDescent="0.25">
      <c r="E426" s="36"/>
      <c r="F426" s="37"/>
    </row>
    <row r="427" spans="5:6" ht="15.75" customHeight="1" x14ac:dyDescent="0.25">
      <c r="E427" s="36"/>
      <c r="F427" s="37"/>
    </row>
    <row r="428" spans="5:6" ht="15.75" customHeight="1" x14ac:dyDescent="0.25">
      <c r="E428" s="36"/>
      <c r="F428" s="37"/>
    </row>
    <row r="429" spans="5:6" ht="15.75" customHeight="1" x14ac:dyDescent="0.25">
      <c r="E429" s="36"/>
      <c r="F429" s="37"/>
    </row>
    <row r="430" spans="5:6" ht="15.75" customHeight="1" x14ac:dyDescent="0.25">
      <c r="E430" s="36"/>
      <c r="F430" s="37"/>
    </row>
    <row r="431" spans="5:6" ht="15.75" customHeight="1" x14ac:dyDescent="0.25">
      <c r="E431" s="36"/>
      <c r="F431" s="37"/>
    </row>
    <row r="432" spans="5:6" ht="15.75" customHeight="1" x14ac:dyDescent="0.25">
      <c r="E432" s="36"/>
      <c r="F432" s="37"/>
    </row>
    <row r="433" spans="5:6" ht="15.75" customHeight="1" x14ac:dyDescent="0.25">
      <c r="E433" s="36"/>
      <c r="F433" s="37"/>
    </row>
    <row r="434" spans="5:6" ht="15.75" customHeight="1" x14ac:dyDescent="0.25">
      <c r="E434" s="36"/>
      <c r="F434" s="37"/>
    </row>
    <row r="435" spans="5:6" ht="15.75" customHeight="1" x14ac:dyDescent="0.25">
      <c r="E435" s="36"/>
      <c r="F435" s="37"/>
    </row>
    <row r="436" spans="5:6" ht="15.75" customHeight="1" x14ac:dyDescent="0.25">
      <c r="E436" s="36"/>
      <c r="F436" s="37"/>
    </row>
    <row r="437" spans="5:6" ht="15.75" customHeight="1" x14ac:dyDescent="0.25">
      <c r="E437" s="36"/>
      <c r="F437" s="37"/>
    </row>
    <row r="438" spans="5:6" ht="15.75" customHeight="1" x14ac:dyDescent="0.25">
      <c r="E438" s="36"/>
      <c r="F438" s="37"/>
    </row>
    <row r="439" spans="5:6" ht="15.75" customHeight="1" x14ac:dyDescent="0.25">
      <c r="E439" s="36"/>
      <c r="F439" s="37"/>
    </row>
    <row r="440" spans="5:6" ht="15.75" customHeight="1" x14ac:dyDescent="0.25">
      <c r="E440" s="36"/>
      <c r="F440" s="37"/>
    </row>
    <row r="441" spans="5:6" ht="15.75" customHeight="1" x14ac:dyDescent="0.25">
      <c r="E441" s="36"/>
      <c r="F441" s="37"/>
    </row>
    <row r="442" spans="5:6" ht="15.75" customHeight="1" x14ac:dyDescent="0.25">
      <c r="E442" s="36"/>
      <c r="F442" s="37"/>
    </row>
    <row r="443" spans="5:6" ht="15.75" customHeight="1" x14ac:dyDescent="0.25">
      <c r="E443" s="36"/>
      <c r="F443" s="37"/>
    </row>
    <row r="444" spans="5:6" ht="15.75" customHeight="1" x14ac:dyDescent="0.25">
      <c r="E444" s="36"/>
      <c r="F444" s="37"/>
    </row>
    <row r="445" spans="5:6" ht="15.75" customHeight="1" x14ac:dyDescent="0.25">
      <c r="E445" s="36"/>
      <c r="F445" s="37"/>
    </row>
    <row r="446" spans="5:6" ht="15.75" customHeight="1" x14ac:dyDescent="0.25">
      <c r="E446" s="36"/>
      <c r="F446" s="37"/>
    </row>
    <row r="447" spans="5:6" ht="15.75" customHeight="1" x14ac:dyDescent="0.25">
      <c r="E447" s="36"/>
      <c r="F447" s="37"/>
    </row>
    <row r="448" spans="5:6" ht="15.75" customHeight="1" x14ac:dyDescent="0.25">
      <c r="E448" s="36"/>
      <c r="F448" s="37"/>
    </row>
    <row r="449" spans="5:6" ht="15.75" customHeight="1" x14ac:dyDescent="0.25">
      <c r="E449" s="36"/>
      <c r="F449" s="37"/>
    </row>
    <row r="450" spans="5:6" ht="15.75" customHeight="1" x14ac:dyDescent="0.25">
      <c r="E450" s="36"/>
      <c r="F450" s="37"/>
    </row>
    <row r="451" spans="5:6" ht="15.75" customHeight="1" x14ac:dyDescent="0.25">
      <c r="E451" s="36"/>
      <c r="F451" s="37"/>
    </row>
    <row r="452" spans="5:6" ht="15.75" customHeight="1" x14ac:dyDescent="0.25">
      <c r="E452" s="36"/>
      <c r="F452" s="37"/>
    </row>
    <row r="453" spans="5:6" ht="15.75" customHeight="1" x14ac:dyDescent="0.25">
      <c r="E453" s="36"/>
      <c r="F453" s="37"/>
    </row>
    <row r="454" spans="5:6" ht="15.75" customHeight="1" x14ac:dyDescent="0.25">
      <c r="E454" s="36"/>
      <c r="F454" s="37"/>
    </row>
    <row r="455" spans="5:6" ht="15.75" customHeight="1" x14ac:dyDescent="0.25">
      <c r="E455" s="36"/>
      <c r="F455" s="37"/>
    </row>
    <row r="456" spans="5:6" ht="15.75" customHeight="1" x14ac:dyDescent="0.25">
      <c r="E456" s="36"/>
      <c r="F456" s="37"/>
    </row>
    <row r="457" spans="5:6" ht="15.75" customHeight="1" x14ac:dyDescent="0.25">
      <c r="E457" s="36"/>
      <c r="F457" s="37"/>
    </row>
    <row r="458" spans="5:6" ht="15.75" customHeight="1" x14ac:dyDescent="0.25">
      <c r="E458" s="36"/>
      <c r="F458" s="37"/>
    </row>
    <row r="459" spans="5:6" ht="15.75" customHeight="1" x14ac:dyDescent="0.25">
      <c r="E459" s="36"/>
      <c r="F459" s="37"/>
    </row>
    <row r="460" spans="5:6" ht="15.75" customHeight="1" x14ac:dyDescent="0.25">
      <c r="E460" s="36"/>
      <c r="F460" s="37"/>
    </row>
    <row r="461" spans="5:6" ht="15.75" customHeight="1" x14ac:dyDescent="0.25">
      <c r="E461" s="36"/>
      <c r="F461" s="37"/>
    </row>
    <row r="462" spans="5:6" ht="15.75" customHeight="1" x14ac:dyDescent="0.25">
      <c r="E462" s="36"/>
      <c r="F462" s="37"/>
    </row>
    <row r="463" spans="5:6" ht="15.75" customHeight="1" x14ac:dyDescent="0.25">
      <c r="E463" s="36"/>
      <c r="F463" s="37"/>
    </row>
    <row r="464" spans="5:6" ht="15.75" customHeight="1" x14ac:dyDescent="0.25">
      <c r="E464" s="36"/>
      <c r="F464" s="37"/>
    </row>
    <row r="465" spans="5:6" ht="15.75" customHeight="1" x14ac:dyDescent="0.25">
      <c r="E465" s="36"/>
      <c r="F465" s="37"/>
    </row>
    <row r="466" spans="5:6" ht="15.75" customHeight="1" x14ac:dyDescent="0.25">
      <c r="E466" s="36"/>
      <c r="F466" s="37"/>
    </row>
    <row r="467" spans="5:6" ht="15.75" customHeight="1" x14ac:dyDescent="0.25">
      <c r="E467" s="36"/>
      <c r="F467" s="37"/>
    </row>
    <row r="468" spans="5:6" ht="15.75" customHeight="1" x14ac:dyDescent="0.25">
      <c r="E468" s="36"/>
      <c r="F468" s="37"/>
    </row>
    <row r="469" spans="5:6" ht="15.75" customHeight="1" x14ac:dyDescent="0.25">
      <c r="E469" s="36"/>
      <c r="F469" s="37"/>
    </row>
    <row r="470" spans="5:6" ht="15.75" customHeight="1" x14ac:dyDescent="0.25">
      <c r="E470" s="36"/>
      <c r="F470" s="37"/>
    </row>
    <row r="471" spans="5:6" ht="15.75" customHeight="1" x14ac:dyDescent="0.25">
      <c r="E471" s="36"/>
      <c r="F471" s="37"/>
    </row>
    <row r="472" spans="5:6" ht="15.75" customHeight="1" x14ac:dyDescent="0.25">
      <c r="E472" s="36"/>
      <c r="F472" s="37"/>
    </row>
    <row r="473" spans="5:6" ht="15.75" customHeight="1" x14ac:dyDescent="0.25">
      <c r="E473" s="36"/>
      <c r="F473" s="37"/>
    </row>
    <row r="474" spans="5:6" ht="15.75" customHeight="1" x14ac:dyDescent="0.25">
      <c r="E474" s="36"/>
      <c r="F474" s="37"/>
    </row>
    <row r="475" spans="5:6" ht="15.75" customHeight="1" x14ac:dyDescent="0.25">
      <c r="E475" s="36"/>
      <c r="F475" s="37"/>
    </row>
    <row r="476" spans="5:6" ht="15.75" customHeight="1" x14ac:dyDescent="0.25">
      <c r="E476" s="36"/>
      <c r="F476" s="37"/>
    </row>
    <row r="477" spans="5:6" ht="15.75" customHeight="1" x14ac:dyDescent="0.25">
      <c r="E477" s="36"/>
      <c r="F477" s="37"/>
    </row>
    <row r="478" spans="5:6" ht="15.75" customHeight="1" x14ac:dyDescent="0.25">
      <c r="E478" s="36"/>
      <c r="F478" s="37"/>
    </row>
    <row r="479" spans="5:6" ht="15.75" customHeight="1" x14ac:dyDescent="0.25">
      <c r="E479" s="36"/>
      <c r="F479" s="37"/>
    </row>
    <row r="480" spans="5:6" ht="15.75" customHeight="1" x14ac:dyDescent="0.25">
      <c r="E480" s="36"/>
      <c r="F480" s="37"/>
    </row>
    <row r="481" spans="5:6" ht="15.75" customHeight="1" x14ac:dyDescent="0.25">
      <c r="E481" s="36"/>
      <c r="F481" s="37"/>
    </row>
    <row r="482" spans="5:6" ht="15.75" customHeight="1" x14ac:dyDescent="0.25">
      <c r="E482" s="36"/>
      <c r="F482" s="37"/>
    </row>
    <row r="483" spans="5:6" ht="15.75" customHeight="1" x14ac:dyDescent="0.25">
      <c r="E483" s="36"/>
      <c r="F483" s="37"/>
    </row>
    <row r="484" spans="5:6" ht="15.75" customHeight="1" x14ac:dyDescent="0.25">
      <c r="E484" s="36"/>
      <c r="F484" s="37"/>
    </row>
    <row r="485" spans="5:6" ht="15.75" customHeight="1" x14ac:dyDescent="0.25">
      <c r="E485" s="36"/>
      <c r="F485" s="37"/>
    </row>
    <row r="486" spans="5:6" ht="15.75" customHeight="1" x14ac:dyDescent="0.25">
      <c r="E486" s="36"/>
      <c r="F486" s="37"/>
    </row>
    <row r="487" spans="5:6" ht="15.75" customHeight="1" x14ac:dyDescent="0.25">
      <c r="E487" s="36"/>
      <c r="F487" s="37"/>
    </row>
    <row r="488" spans="5:6" ht="15.75" customHeight="1" x14ac:dyDescent="0.25">
      <c r="E488" s="36"/>
      <c r="F488" s="37"/>
    </row>
    <row r="489" spans="5:6" ht="15.75" customHeight="1" x14ac:dyDescent="0.25">
      <c r="E489" s="36"/>
      <c r="F489" s="37"/>
    </row>
    <row r="490" spans="5:6" ht="15.75" customHeight="1" x14ac:dyDescent="0.25">
      <c r="E490" s="36"/>
      <c r="F490" s="37"/>
    </row>
    <row r="491" spans="5:6" ht="15.75" customHeight="1" x14ac:dyDescent="0.25">
      <c r="E491" s="36"/>
      <c r="F491" s="37"/>
    </row>
    <row r="492" spans="5:6" ht="15.75" customHeight="1" x14ac:dyDescent="0.25">
      <c r="E492" s="36"/>
      <c r="F492" s="37"/>
    </row>
    <row r="493" spans="5:6" ht="15.75" customHeight="1" x14ac:dyDescent="0.25">
      <c r="E493" s="36"/>
      <c r="F493" s="37"/>
    </row>
    <row r="494" spans="5:6" ht="15.75" customHeight="1" x14ac:dyDescent="0.25">
      <c r="E494" s="36"/>
      <c r="F494" s="37"/>
    </row>
    <row r="495" spans="5:6" ht="15.75" customHeight="1" x14ac:dyDescent="0.25">
      <c r="E495" s="36"/>
      <c r="F495" s="37"/>
    </row>
    <row r="496" spans="5:6" ht="15.75" customHeight="1" x14ac:dyDescent="0.25">
      <c r="E496" s="36"/>
      <c r="F496" s="37"/>
    </row>
    <row r="497" spans="5:6" ht="15.75" customHeight="1" x14ac:dyDescent="0.25">
      <c r="E497" s="36"/>
      <c r="F497" s="37"/>
    </row>
    <row r="498" spans="5:6" ht="15.75" customHeight="1" x14ac:dyDescent="0.25">
      <c r="E498" s="36"/>
      <c r="F498" s="37"/>
    </row>
    <row r="499" spans="5:6" ht="15.75" customHeight="1" x14ac:dyDescent="0.25">
      <c r="E499" s="36"/>
      <c r="F499" s="37"/>
    </row>
    <row r="500" spans="5:6" ht="15.75" customHeight="1" x14ac:dyDescent="0.25">
      <c r="E500" s="36"/>
      <c r="F500" s="37"/>
    </row>
    <row r="501" spans="5:6" ht="15.75" customHeight="1" x14ac:dyDescent="0.25">
      <c r="E501" s="36"/>
      <c r="F501" s="37"/>
    </row>
    <row r="502" spans="5:6" ht="15.75" customHeight="1" x14ac:dyDescent="0.25">
      <c r="E502" s="36"/>
      <c r="F502" s="37"/>
    </row>
    <row r="503" spans="5:6" ht="15.75" customHeight="1" x14ac:dyDescent="0.25">
      <c r="E503" s="36"/>
      <c r="F503" s="37"/>
    </row>
    <row r="504" spans="5:6" ht="15.75" customHeight="1" x14ac:dyDescent="0.25">
      <c r="E504" s="36"/>
      <c r="F504" s="37"/>
    </row>
    <row r="505" spans="5:6" ht="15.75" customHeight="1" x14ac:dyDescent="0.25">
      <c r="E505" s="36"/>
      <c r="F505" s="37"/>
    </row>
    <row r="506" spans="5:6" ht="15.75" customHeight="1" x14ac:dyDescent="0.25">
      <c r="E506" s="36"/>
      <c r="F506" s="37"/>
    </row>
    <row r="507" spans="5:6" ht="15.75" customHeight="1" x14ac:dyDescent="0.25">
      <c r="E507" s="36"/>
      <c r="F507" s="37"/>
    </row>
    <row r="508" spans="5:6" ht="15.75" customHeight="1" x14ac:dyDescent="0.25">
      <c r="E508" s="36"/>
      <c r="F508" s="37"/>
    </row>
    <row r="509" spans="5:6" ht="15.75" customHeight="1" x14ac:dyDescent="0.25">
      <c r="E509" s="36"/>
      <c r="F509" s="37"/>
    </row>
    <row r="510" spans="5:6" ht="15.75" customHeight="1" x14ac:dyDescent="0.25">
      <c r="E510" s="36"/>
      <c r="F510" s="37"/>
    </row>
    <row r="511" spans="5:6" ht="15.75" customHeight="1" x14ac:dyDescent="0.25">
      <c r="E511" s="36"/>
      <c r="F511" s="37"/>
    </row>
    <row r="512" spans="5:6" ht="15.75" customHeight="1" x14ac:dyDescent="0.25">
      <c r="E512" s="36"/>
      <c r="F512" s="37"/>
    </row>
    <row r="513" spans="5:6" ht="15.75" customHeight="1" x14ac:dyDescent="0.25">
      <c r="E513" s="36"/>
      <c r="F513" s="37"/>
    </row>
    <row r="514" spans="5:6" ht="15.75" customHeight="1" x14ac:dyDescent="0.25">
      <c r="E514" s="36"/>
      <c r="F514" s="37"/>
    </row>
    <row r="515" spans="5:6" ht="15.75" customHeight="1" x14ac:dyDescent="0.25">
      <c r="E515" s="36"/>
      <c r="F515" s="37"/>
    </row>
    <row r="516" spans="5:6" ht="15.75" customHeight="1" x14ac:dyDescent="0.25">
      <c r="E516" s="36"/>
      <c r="F516" s="37"/>
    </row>
    <row r="517" spans="5:6" ht="15.75" customHeight="1" x14ac:dyDescent="0.25">
      <c r="E517" s="36"/>
      <c r="F517" s="37"/>
    </row>
    <row r="518" spans="5:6" ht="15.75" customHeight="1" x14ac:dyDescent="0.25">
      <c r="E518" s="36"/>
      <c r="F518" s="37"/>
    </row>
    <row r="519" spans="5:6" ht="15.75" customHeight="1" x14ac:dyDescent="0.25">
      <c r="E519" s="36"/>
      <c r="F519" s="37"/>
    </row>
    <row r="520" spans="5:6" ht="15.75" customHeight="1" x14ac:dyDescent="0.25">
      <c r="E520" s="36"/>
      <c r="F520" s="37"/>
    </row>
    <row r="521" spans="5:6" ht="15.75" customHeight="1" x14ac:dyDescent="0.25">
      <c r="E521" s="36"/>
      <c r="F521" s="37"/>
    </row>
    <row r="522" spans="5:6" ht="15.75" customHeight="1" x14ac:dyDescent="0.25">
      <c r="E522" s="36"/>
      <c r="F522" s="37"/>
    </row>
    <row r="523" spans="5:6" ht="15.75" customHeight="1" x14ac:dyDescent="0.25">
      <c r="E523" s="36"/>
      <c r="F523" s="37"/>
    </row>
    <row r="524" spans="5:6" ht="15.75" customHeight="1" x14ac:dyDescent="0.25">
      <c r="E524" s="36"/>
      <c r="F524" s="37"/>
    </row>
    <row r="525" spans="5:6" ht="15.75" customHeight="1" x14ac:dyDescent="0.25">
      <c r="E525" s="36"/>
      <c r="F525" s="37"/>
    </row>
    <row r="526" spans="5:6" ht="15.75" customHeight="1" x14ac:dyDescent="0.25">
      <c r="E526" s="36"/>
      <c r="F526" s="37"/>
    </row>
    <row r="527" spans="5:6" ht="15.75" customHeight="1" x14ac:dyDescent="0.25">
      <c r="E527" s="36"/>
      <c r="F527" s="37"/>
    </row>
    <row r="528" spans="5:6" ht="15.75" customHeight="1" x14ac:dyDescent="0.25">
      <c r="E528" s="36"/>
      <c r="F528" s="37"/>
    </row>
    <row r="529" spans="5:6" ht="15.75" customHeight="1" x14ac:dyDescent="0.25">
      <c r="E529" s="36"/>
      <c r="F529" s="37"/>
    </row>
    <row r="530" spans="5:6" ht="15.75" customHeight="1" x14ac:dyDescent="0.25">
      <c r="E530" s="36"/>
      <c r="F530" s="37"/>
    </row>
    <row r="531" spans="5:6" ht="15.75" customHeight="1" x14ac:dyDescent="0.25">
      <c r="E531" s="36"/>
      <c r="F531" s="37"/>
    </row>
    <row r="532" spans="5:6" ht="15.75" customHeight="1" x14ac:dyDescent="0.25">
      <c r="E532" s="36"/>
      <c r="F532" s="37"/>
    </row>
    <row r="533" spans="5:6" ht="15.75" customHeight="1" x14ac:dyDescent="0.25">
      <c r="E533" s="36"/>
      <c r="F533" s="37"/>
    </row>
    <row r="534" spans="5:6" ht="15.75" customHeight="1" x14ac:dyDescent="0.25">
      <c r="E534" s="36"/>
      <c r="F534" s="37"/>
    </row>
    <row r="535" spans="5:6" ht="15.75" customHeight="1" x14ac:dyDescent="0.25">
      <c r="E535" s="36"/>
      <c r="F535" s="37"/>
    </row>
    <row r="536" spans="5:6" ht="15.75" customHeight="1" x14ac:dyDescent="0.25">
      <c r="E536" s="36"/>
      <c r="F536" s="37"/>
    </row>
    <row r="537" spans="5:6" ht="15.75" customHeight="1" x14ac:dyDescent="0.25">
      <c r="E537" s="36"/>
      <c r="F537" s="37"/>
    </row>
    <row r="538" spans="5:6" ht="15.75" customHeight="1" x14ac:dyDescent="0.25">
      <c r="E538" s="36"/>
      <c r="F538" s="37"/>
    </row>
    <row r="539" spans="5:6" ht="15.75" customHeight="1" x14ac:dyDescent="0.25">
      <c r="E539" s="36"/>
      <c r="F539" s="37"/>
    </row>
    <row r="540" spans="5:6" ht="15.75" customHeight="1" x14ac:dyDescent="0.25">
      <c r="E540" s="36"/>
      <c r="F540" s="37"/>
    </row>
    <row r="541" spans="5:6" ht="15.75" customHeight="1" x14ac:dyDescent="0.25">
      <c r="E541" s="36"/>
      <c r="F541" s="37"/>
    </row>
    <row r="542" spans="5:6" ht="15.75" customHeight="1" x14ac:dyDescent="0.25">
      <c r="E542" s="36"/>
      <c r="F542" s="37"/>
    </row>
    <row r="543" spans="5:6" ht="15.75" customHeight="1" x14ac:dyDescent="0.25">
      <c r="E543" s="36"/>
      <c r="F543" s="37"/>
    </row>
    <row r="544" spans="5:6" ht="15.75" customHeight="1" x14ac:dyDescent="0.25">
      <c r="E544" s="36"/>
      <c r="F544" s="37"/>
    </row>
    <row r="545" spans="5:6" ht="15.75" customHeight="1" x14ac:dyDescent="0.25">
      <c r="E545" s="36"/>
      <c r="F545" s="37"/>
    </row>
    <row r="546" spans="5:6" ht="15.75" customHeight="1" x14ac:dyDescent="0.25">
      <c r="E546" s="36"/>
      <c r="F546" s="37"/>
    </row>
    <row r="547" spans="5:6" ht="15.75" customHeight="1" x14ac:dyDescent="0.25">
      <c r="E547" s="36"/>
      <c r="F547" s="37"/>
    </row>
    <row r="548" spans="5:6" ht="15.75" customHeight="1" x14ac:dyDescent="0.25">
      <c r="E548" s="36"/>
      <c r="F548" s="37"/>
    </row>
    <row r="549" spans="5:6" ht="15.75" customHeight="1" x14ac:dyDescent="0.25">
      <c r="E549" s="36"/>
      <c r="F549" s="37"/>
    </row>
    <row r="550" spans="5:6" ht="15.75" customHeight="1" x14ac:dyDescent="0.25">
      <c r="E550" s="36"/>
      <c r="F550" s="37"/>
    </row>
    <row r="551" spans="5:6" ht="15.75" customHeight="1" x14ac:dyDescent="0.25">
      <c r="E551" s="36"/>
      <c r="F551" s="37"/>
    </row>
    <row r="552" spans="5:6" ht="15.75" customHeight="1" x14ac:dyDescent="0.25">
      <c r="E552" s="36"/>
      <c r="F552" s="37"/>
    </row>
    <row r="553" spans="5:6" ht="15.75" customHeight="1" x14ac:dyDescent="0.25">
      <c r="E553" s="36"/>
      <c r="F553" s="37"/>
    </row>
    <row r="554" spans="5:6" ht="15.75" customHeight="1" x14ac:dyDescent="0.25">
      <c r="E554" s="36"/>
      <c r="F554" s="37"/>
    </row>
    <row r="555" spans="5:6" ht="15.75" customHeight="1" x14ac:dyDescent="0.25">
      <c r="E555" s="36"/>
      <c r="F555" s="37"/>
    </row>
    <row r="556" spans="5:6" ht="15.75" customHeight="1" x14ac:dyDescent="0.25">
      <c r="E556" s="36"/>
      <c r="F556" s="37"/>
    </row>
    <row r="557" spans="5:6" ht="15.75" customHeight="1" x14ac:dyDescent="0.25">
      <c r="E557" s="36"/>
      <c r="F557" s="37"/>
    </row>
    <row r="558" spans="5:6" ht="15.75" customHeight="1" x14ac:dyDescent="0.25">
      <c r="E558" s="36"/>
      <c r="F558" s="37"/>
    </row>
    <row r="559" spans="5:6" ht="15.75" customHeight="1" x14ac:dyDescent="0.25">
      <c r="E559" s="36"/>
      <c r="F559" s="37"/>
    </row>
    <row r="560" spans="5:6" ht="15.75" customHeight="1" x14ac:dyDescent="0.25">
      <c r="E560" s="36"/>
      <c r="F560" s="37"/>
    </row>
    <row r="561" spans="5:6" ht="15.75" customHeight="1" x14ac:dyDescent="0.25">
      <c r="E561" s="36"/>
      <c r="F561" s="37"/>
    </row>
    <row r="562" spans="5:6" ht="15.75" customHeight="1" x14ac:dyDescent="0.25">
      <c r="E562" s="36"/>
      <c r="F562" s="37"/>
    </row>
    <row r="563" spans="5:6" ht="15.75" customHeight="1" x14ac:dyDescent="0.25">
      <c r="E563" s="36"/>
      <c r="F563" s="37"/>
    </row>
    <row r="564" spans="5:6" ht="15.75" customHeight="1" x14ac:dyDescent="0.25">
      <c r="E564" s="36"/>
      <c r="F564" s="37"/>
    </row>
    <row r="565" spans="5:6" ht="15.75" customHeight="1" x14ac:dyDescent="0.25">
      <c r="E565" s="36"/>
      <c r="F565" s="37"/>
    </row>
    <row r="566" spans="5:6" ht="15.75" customHeight="1" x14ac:dyDescent="0.25">
      <c r="E566" s="36"/>
      <c r="F566" s="37"/>
    </row>
    <row r="567" spans="5:6" ht="15.75" customHeight="1" x14ac:dyDescent="0.25">
      <c r="E567" s="36"/>
      <c r="F567" s="37"/>
    </row>
    <row r="568" spans="5:6" ht="15.75" customHeight="1" x14ac:dyDescent="0.25">
      <c r="E568" s="36"/>
      <c r="F568" s="37"/>
    </row>
    <row r="569" spans="5:6" ht="15.75" customHeight="1" x14ac:dyDescent="0.25">
      <c r="E569" s="36"/>
      <c r="F569" s="37"/>
    </row>
    <row r="570" spans="5:6" ht="15.75" customHeight="1" x14ac:dyDescent="0.25">
      <c r="E570" s="36"/>
      <c r="F570" s="37"/>
    </row>
    <row r="571" spans="5:6" ht="15.75" customHeight="1" x14ac:dyDescent="0.25">
      <c r="E571" s="36"/>
      <c r="F571" s="37"/>
    </row>
    <row r="572" spans="5:6" ht="15.75" customHeight="1" x14ac:dyDescent="0.25">
      <c r="E572" s="36"/>
      <c r="F572" s="37"/>
    </row>
    <row r="573" spans="5:6" ht="15.75" customHeight="1" x14ac:dyDescent="0.25">
      <c r="E573" s="36"/>
      <c r="F573" s="37"/>
    </row>
    <row r="574" spans="5:6" ht="15.75" customHeight="1" x14ac:dyDescent="0.25">
      <c r="E574" s="36"/>
      <c r="F574" s="37"/>
    </row>
    <row r="575" spans="5:6" ht="15.75" customHeight="1" x14ac:dyDescent="0.25">
      <c r="E575" s="36"/>
      <c r="F575" s="37"/>
    </row>
    <row r="576" spans="5:6" ht="15.75" customHeight="1" x14ac:dyDescent="0.25">
      <c r="E576" s="36"/>
      <c r="F576" s="37"/>
    </row>
    <row r="577" spans="5:6" ht="15.75" customHeight="1" x14ac:dyDescent="0.25">
      <c r="E577" s="36"/>
      <c r="F577" s="37"/>
    </row>
    <row r="578" spans="5:6" ht="15.75" customHeight="1" x14ac:dyDescent="0.25">
      <c r="E578" s="36"/>
      <c r="F578" s="37"/>
    </row>
    <row r="579" spans="5:6" ht="15.75" customHeight="1" x14ac:dyDescent="0.25">
      <c r="E579" s="36"/>
      <c r="F579" s="37"/>
    </row>
    <row r="580" spans="5:6" ht="15.75" customHeight="1" x14ac:dyDescent="0.25">
      <c r="E580" s="36"/>
      <c r="F580" s="37"/>
    </row>
    <row r="581" spans="5:6" ht="15.75" customHeight="1" x14ac:dyDescent="0.25">
      <c r="E581" s="36"/>
      <c r="F581" s="37"/>
    </row>
    <row r="582" spans="5:6" ht="15.75" customHeight="1" x14ac:dyDescent="0.25">
      <c r="E582" s="36"/>
      <c r="F582" s="37"/>
    </row>
    <row r="583" spans="5:6" ht="15.75" customHeight="1" x14ac:dyDescent="0.25">
      <c r="E583" s="36"/>
      <c r="F583" s="37"/>
    </row>
    <row r="584" spans="5:6" ht="15.75" customHeight="1" x14ac:dyDescent="0.25">
      <c r="E584" s="36"/>
      <c r="F584" s="37"/>
    </row>
    <row r="585" spans="5:6" ht="15.75" customHeight="1" x14ac:dyDescent="0.25">
      <c r="E585" s="36"/>
      <c r="F585" s="37"/>
    </row>
    <row r="586" spans="5:6" ht="15.75" customHeight="1" x14ac:dyDescent="0.25">
      <c r="E586" s="36"/>
      <c r="F586" s="37"/>
    </row>
    <row r="587" spans="5:6" ht="15.75" customHeight="1" x14ac:dyDescent="0.25">
      <c r="E587" s="36"/>
      <c r="F587" s="37"/>
    </row>
    <row r="588" spans="5:6" ht="15.75" customHeight="1" x14ac:dyDescent="0.25">
      <c r="E588" s="36"/>
      <c r="F588" s="37"/>
    </row>
    <row r="589" spans="5:6" ht="15.75" customHeight="1" x14ac:dyDescent="0.25">
      <c r="E589" s="36"/>
      <c r="F589" s="37"/>
    </row>
    <row r="590" spans="5:6" ht="15.75" customHeight="1" x14ac:dyDescent="0.25">
      <c r="E590" s="36"/>
      <c r="F590" s="37"/>
    </row>
    <row r="591" spans="5:6" ht="15.75" customHeight="1" x14ac:dyDescent="0.25">
      <c r="E591" s="36"/>
      <c r="F591" s="37"/>
    </row>
    <row r="592" spans="5:6" ht="15.75" customHeight="1" x14ac:dyDescent="0.25">
      <c r="E592" s="36"/>
      <c r="F592" s="37"/>
    </row>
    <row r="593" spans="5:6" ht="15.75" customHeight="1" x14ac:dyDescent="0.25">
      <c r="E593" s="36"/>
      <c r="F593" s="37"/>
    </row>
    <row r="594" spans="5:6" ht="15.75" customHeight="1" x14ac:dyDescent="0.25">
      <c r="E594" s="36"/>
      <c r="F594" s="37"/>
    </row>
    <row r="595" spans="5:6" ht="15.75" customHeight="1" x14ac:dyDescent="0.25">
      <c r="E595" s="36"/>
      <c r="F595" s="37"/>
    </row>
    <row r="596" spans="5:6" ht="15.75" customHeight="1" x14ac:dyDescent="0.25">
      <c r="E596" s="36"/>
      <c r="F596" s="37"/>
    </row>
    <row r="597" spans="5:6" ht="15.75" customHeight="1" x14ac:dyDescent="0.25">
      <c r="E597" s="36"/>
      <c r="F597" s="37"/>
    </row>
    <row r="598" spans="5:6" ht="15.75" customHeight="1" x14ac:dyDescent="0.25">
      <c r="E598" s="36"/>
      <c r="F598" s="37"/>
    </row>
    <row r="599" spans="5:6" ht="15.75" customHeight="1" x14ac:dyDescent="0.25">
      <c r="E599" s="36"/>
      <c r="F599" s="37"/>
    </row>
    <row r="600" spans="5:6" ht="15.75" customHeight="1" x14ac:dyDescent="0.25">
      <c r="E600" s="36"/>
      <c r="F600" s="37"/>
    </row>
    <row r="601" spans="5:6" ht="15.75" customHeight="1" x14ac:dyDescent="0.25">
      <c r="E601" s="36"/>
      <c r="F601" s="37"/>
    </row>
    <row r="602" spans="5:6" ht="15.75" customHeight="1" x14ac:dyDescent="0.25">
      <c r="E602" s="36"/>
      <c r="F602" s="37"/>
    </row>
    <row r="603" spans="5:6" ht="15.75" customHeight="1" x14ac:dyDescent="0.25">
      <c r="E603" s="36"/>
      <c r="F603" s="37"/>
    </row>
    <row r="604" spans="5:6" ht="15.75" customHeight="1" x14ac:dyDescent="0.25">
      <c r="E604" s="36"/>
      <c r="F604" s="37"/>
    </row>
    <row r="605" spans="5:6" ht="15.75" customHeight="1" x14ac:dyDescent="0.25">
      <c r="E605" s="36"/>
      <c r="F605" s="37"/>
    </row>
    <row r="606" spans="5:6" ht="15.75" customHeight="1" x14ac:dyDescent="0.25">
      <c r="E606" s="36"/>
      <c r="F606" s="37"/>
    </row>
    <row r="607" spans="5:6" ht="15.75" customHeight="1" x14ac:dyDescent="0.25">
      <c r="E607" s="36"/>
      <c r="F607" s="37"/>
    </row>
    <row r="608" spans="5:6" ht="15.75" customHeight="1" x14ac:dyDescent="0.25">
      <c r="E608" s="36"/>
      <c r="F608" s="37"/>
    </row>
    <row r="609" spans="5:6" ht="15.75" customHeight="1" x14ac:dyDescent="0.25">
      <c r="E609" s="36"/>
      <c r="F609" s="37"/>
    </row>
    <row r="610" spans="5:6" ht="15.75" customHeight="1" x14ac:dyDescent="0.25">
      <c r="E610" s="36"/>
      <c r="F610" s="37"/>
    </row>
    <row r="611" spans="5:6" ht="15.75" customHeight="1" x14ac:dyDescent="0.25">
      <c r="E611" s="36"/>
      <c r="F611" s="37"/>
    </row>
    <row r="612" spans="5:6" ht="15.75" customHeight="1" x14ac:dyDescent="0.25">
      <c r="E612" s="36"/>
      <c r="F612" s="37"/>
    </row>
    <row r="613" spans="5:6" ht="15.75" customHeight="1" x14ac:dyDescent="0.25">
      <c r="E613" s="36"/>
      <c r="F613" s="37"/>
    </row>
    <row r="614" spans="5:6" ht="15.75" customHeight="1" x14ac:dyDescent="0.25">
      <c r="E614" s="36"/>
      <c r="F614" s="37"/>
    </row>
    <row r="615" spans="5:6" ht="15.75" customHeight="1" x14ac:dyDescent="0.25">
      <c r="E615" s="36"/>
      <c r="F615" s="37"/>
    </row>
    <row r="616" spans="5:6" ht="15.75" customHeight="1" x14ac:dyDescent="0.25">
      <c r="E616" s="36"/>
      <c r="F616" s="37"/>
    </row>
    <row r="617" spans="5:6" ht="15.75" customHeight="1" x14ac:dyDescent="0.25">
      <c r="E617" s="36"/>
      <c r="F617" s="37"/>
    </row>
    <row r="618" spans="5:6" ht="15.75" customHeight="1" x14ac:dyDescent="0.25">
      <c r="E618" s="36"/>
      <c r="F618" s="37"/>
    </row>
    <row r="619" spans="5:6" ht="15.75" customHeight="1" x14ac:dyDescent="0.25">
      <c r="E619" s="36"/>
      <c r="F619" s="37"/>
    </row>
    <row r="620" spans="5:6" ht="15.75" customHeight="1" x14ac:dyDescent="0.25">
      <c r="E620" s="36"/>
      <c r="F620" s="37"/>
    </row>
    <row r="621" spans="5:6" ht="15.75" customHeight="1" x14ac:dyDescent="0.25">
      <c r="E621" s="36"/>
      <c r="F621" s="37"/>
    </row>
    <row r="622" spans="5:6" ht="15.75" customHeight="1" x14ac:dyDescent="0.25">
      <c r="E622" s="36"/>
      <c r="F622" s="37"/>
    </row>
    <row r="623" spans="5:6" ht="15.75" customHeight="1" x14ac:dyDescent="0.25">
      <c r="E623" s="36"/>
      <c r="F623" s="37"/>
    </row>
    <row r="624" spans="5:6" ht="15.75" customHeight="1" x14ac:dyDescent="0.25">
      <c r="E624" s="36"/>
      <c r="F624" s="37"/>
    </row>
    <row r="625" spans="5:6" ht="15.75" customHeight="1" x14ac:dyDescent="0.25">
      <c r="E625" s="36"/>
      <c r="F625" s="37"/>
    </row>
    <row r="626" spans="5:6" ht="15.75" customHeight="1" x14ac:dyDescent="0.25">
      <c r="E626" s="36"/>
      <c r="F626" s="37"/>
    </row>
    <row r="627" spans="5:6" ht="15.75" customHeight="1" x14ac:dyDescent="0.25">
      <c r="E627" s="36"/>
      <c r="F627" s="37"/>
    </row>
    <row r="628" spans="5:6" ht="15.75" customHeight="1" x14ac:dyDescent="0.25">
      <c r="E628" s="36"/>
      <c r="F628" s="37"/>
    </row>
    <row r="629" spans="5:6" ht="15.75" customHeight="1" x14ac:dyDescent="0.25">
      <c r="E629" s="36"/>
      <c r="F629" s="37"/>
    </row>
    <row r="630" spans="5:6" ht="15.75" customHeight="1" x14ac:dyDescent="0.25">
      <c r="E630" s="36"/>
      <c r="F630" s="37"/>
    </row>
    <row r="631" spans="5:6" ht="15.75" customHeight="1" x14ac:dyDescent="0.25">
      <c r="E631" s="36"/>
      <c r="F631" s="37"/>
    </row>
    <row r="632" spans="5:6" ht="15.75" customHeight="1" x14ac:dyDescent="0.25">
      <c r="E632" s="36"/>
      <c r="F632" s="37"/>
    </row>
    <row r="633" spans="5:6" ht="15.75" customHeight="1" x14ac:dyDescent="0.25">
      <c r="E633" s="36"/>
      <c r="F633" s="37"/>
    </row>
    <row r="634" spans="5:6" ht="15.75" customHeight="1" x14ac:dyDescent="0.25">
      <c r="E634" s="36"/>
      <c r="F634" s="37"/>
    </row>
    <row r="635" spans="5:6" ht="15.75" customHeight="1" x14ac:dyDescent="0.25">
      <c r="E635" s="36"/>
      <c r="F635" s="37"/>
    </row>
    <row r="636" spans="5:6" ht="15.75" customHeight="1" x14ac:dyDescent="0.25">
      <c r="E636" s="36"/>
      <c r="F636" s="37"/>
    </row>
    <row r="637" spans="5:6" ht="15.75" customHeight="1" x14ac:dyDescent="0.25">
      <c r="E637" s="36"/>
      <c r="F637" s="37"/>
    </row>
    <row r="638" spans="5:6" ht="15.75" customHeight="1" x14ac:dyDescent="0.25">
      <c r="E638" s="36"/>
      <c r="F638" s="37"/>
    </row>
    <row r="639" spans="5:6" ht="15.75" customHeight="1" x14ac:dyDescent="0.25">
      <c r="E639" s="36"/>
      <c r="F639" s="37"/>
    </row>
    <row r="640" spans="5:6" ht="15.75" customHeight="1" x14ac:dyDescent="0.25">
      <c r="E640" s="36"/>
      <c r="F640" s="37"/>
    </row>
    <row r="641" spans="5:6" ht="15.75" customHeight="1" x14ac:dyDescent="0.25">
      <c r="E641" s="36"/>
      <c r="F641" s="37"/>
    </row>
    <row r="642" spans="5:6" ht="15.75" customHeight="1" x14ac:dyDescent="0.25">
      <c r="E642" s="36"/>
      <c r="F642" s="37"/>
    </row>
    <row r="643" spans="5:6" ht="15.75" customHeight="1" x14ac:dyDescent="0.25">
      <c r="E643" s="36"/>
      <c r="F643" s="37"/>
    </row>
    <row r="644" spans="5:6" ht="15.75" customHeight="1" x14ac:dyDescent="0.25">
      <c r="E644" s="36"/>
      <c r="F644" s="37"/>
    </row>
    <row r="645" spans="5:6" ht="15.75" customHeight="1" x14ac:dyDescent="0.25">
      <c r="E645" s="36"/>
      <c r="F645" s="37"/>
    </row>
    <row r="646" spans="5:6" ht="15.75" customHeight="1" x14ac:dyDescent="0.25">
      <c r="E646" s="36"/>
      <c r="F646" s="37"/>
    </row>
    <row r="647" spans="5:6" ht="15.75" customHeight="1" x14ac:dyDescent="0.25">
      <c r="E647" s="36"/>
      <c r="F647" s="37"/>
    </row>
    <row r="648" spans="5:6" ht="15.75" customHeight="1" x14ac:dyDescent="0.25">
      <c r="E648" s="36"/>
      <c r="F648" s="37"/>
    </row>
    <row r="649" spans="5:6" ht="15.75" customHeight="1" x14ac:dyDescent="0.25">
      <c r="E649" s="36"/>
      <c r="F649" s="37"/>
    </row>
    <row r="650" spans="5:6" ht="15.75" customHeight="1" x14ac:dyDescent="0.25">
      <c r="E650" s="36"/>
      <c r="F650" s="37"/>
    </row>
    <row r="651" spans="5:6" ht="15.75" customHeight="1" x14ac:dyDescent="0.25">
      <c r="E651" s="36"/>
      <c r="F651" s="37"/>
    </row>
    <row r="652" spans="5:6" ht="15.75" customHeight="1" x14ac:dyDescent="0.25">
      <c r="E652" s="36"/>
      <c r="F652" s="37"/>
    </row>
    <row r="653" spans="5:6" ht="15.75" customHeight="1" x14ac:dyDescent="0.25">
      <c r="E653" s="36"/>
      <c r="F653" s="37"/>
    </row>
    <row r="654" spans="5:6" ht="15.75" customHeight="1" x14ac:dyDescent="0.25">
      <c r="E654" s="36"/>
      <c r="F654" s="37"/>
    </row>
    <row r="655" spans="5:6" ht="15.75" customHeight="1" x14ac:dyDescent="0.25">
      <c r="E655" s="36"/>
      <c r="F655" s="37"/>
    </row>
    <row r="656" spans="5:6" ht="15.75" customHeight="1" x14ac:dyDescent="0.25">
      <c r="E656" s="36"/>
      <c r="F656" s="37"/>
    </row>
    <row r="657" spans="5:6" ht="15.75" customHeight="1" x14ac:dyDescent="0.25">
      <c r="E657" s="36"/>
      <c r="F657" s="37"/>
    </row>
    <row r="658" spans="5:6" ht="15.75" customHeight="1" x14ac:dyDescent="0.25">
      <c r="E658" s="36"/>
      <c r="F658" s="37"/>
    </row>
    <row r="659" spans="5:6" ht="15.75" customHeight="1" x14ac:dyDescent="0.25">
      <c r="E659" s="36"/>
      <c r="F659" s="37"/>
    </row>
    <row r="660" spans="5:6" ht="15.75" customHeight="1" x14ac:dyDescent="0.25">
      <c r="E660" s="36"/>
      <c r="F660" s="37"/>
    </row>
    <row r="661" spans="5:6" ht="15.75" customHeight="1" x14ac:dyDescent="0.25">
      <c r="E661" s="36"/>
      <c r="F661" s="37"/>
    </row>
    <row r="662" spans="5:6" ht="15.75" customHeight="1" x14ac:dyDescent="0.25">
      <c r="E662" s="36"/>
      <c r="F662" s="37"/>
    </row>
    <row r="663" spans="5:6" ht="15.75" customHeight="1" x14ac:dyDescent="0.25">
      <c r="E663" s="36"/>
      <c r="F663" s="37"/>
    </row>
    <row r="664" spans="5:6" ht="15.75" customHeight="1" x14ac:dyDescent="0.25">
      <c r="E664" s="36"/>
      <c r="F664" s="37"/>
    </row>
    <row r="665" spans="5:6" ht="15.75" customHeight="1" x14ac:dyDescent="0.25">
      <c r="E665" s="36"/>
      <c r="F665" s="37"/>
    </row>
    <row r="666" spans="5:6" ht="15.75" customHeight="1" x14ac:dyDescent="0.25">
      <c r="E666" s="36"/>
      <c r="F666" s="37"/>
    </row>
    <row r="667" spans="5:6" ht="15.75" customHeight="1" x14ac:dyDescent="0.25">
      <c r="E667" s="36"/>
      <c r="F667" s="37"/>
    </row>
    <row r="668" spans="5:6" ht="15.75" customHeight="1" x14ac:dyDescent="0.25">
      <c r="E668" s="36"/>
      <c r="F668" s="37"/>
    </row>
    <row r="669" spans="5:6" ht="15.75" customHeight="1" x14ac:dyDescent="0.25">
      <c r="E669" s="36"/>
      <c r="F669" s="37"/>
    </row>
    <row r="670" spans="5:6" ht="15.75" customHeight="1" x14ac:dyDescent="0.25">
      <c r="E670" s="36"/>
      <c r="F670" s="37"/>
    </row>
    <row r="671" spans="5:6" ht="15.75" customHeight="1" x14ac:dyDescent="0.25">
      <c r="E671" s="36"/>
      <c r="F671" s="37"/>
    </row>
    <row r="672" spans="5:6" ht="15.75" customHeight="1" x14ac:dyDescent="0.25">
      <c r="E672" s="36"/>
      <c r="F672" s="37"/>
    </row>
    <row r="673" spans="5:6" ht="15.75" customHeight="1" x14ac:dyDescent="0.25">
      <c r="E673" s="36"/>
      <c r="F673" s="37"/>
    </row>
    <row r="674" spans="5:6" ht="15.75" customHeight="1" x14ac:dyDescent="0.25">
      <c r="E674" s="36"/>
      <c r="F674" s="37"/>
    </row>
    <row r="675" spans="5:6" ht="15.75" customHeight="1" x14ac:dyDescent="0.25">
      <c r="E675" s="36"/>
      <c r="F675" s="37"/>
    </row>
    <row r="676" spans="5:6" ht="15.75" customHeight="1" x14ac:dyDescent="0.25">
      <c r="E676" s="36"/>
      <c r="F676" s="37"/>
    </row>
    <row r="677" spans="5:6" ht="15.75" customHeight="1" x14ac:dyDescent="0.25">
      <c r="E677" s="36"/>
      <c r="F677" s="37"/>
    </row>
    <row r="678" spans="5:6" ht="15.75" customHeight="1" x14ac:dyDescent="0.25">
      <c r="E678" s="36"/>
      <c r="F678" s="37"/>
    </row>
    <row r="679" spans="5:6" ht="15.75" customHeight="1" x14ac:dyDescent="0.25">
      <c r="E679" s="36"/>
      <c r="F679" s="37"/>
    </row>
    <row r="680" spans="5:6" ht="15.75" customHeight="1" x14ac:dyDescent="0.25">
      <c r="E680" s="36"/>
      <c r="F680" s="37"/>
    </row>
    <row r="681" spans="5:6" ht="15.75" customHeight="1" x14ac:dyDescent="0.25">
      <c r="E681" s="36"/>
      <c r="F681" s="37"/>
    </row>
    <row r="682" spans="5:6" ht="15.75" customHeight="1" x14ac:dyDescent="0.25">
      <c r="E682" s="36"/>
      <c r="F682" s="37"/>
    </row>
    <row r="683" spans="5:6" ht="15.75" customHeight="1" x14ac:dyDescent="0.25">
      <c r="E683" s="36"/>
      <c r="F683" s="37"/>
    </row>
    <row r="684" spans="5:6" ht="15.75" customHeight="1" x14ac:dyDescent="0.25">
      <c r="E684" s="36"/>
      <c r="F684" s="37"/>
    </row>
    <row r="685" spans="5:6" ht="15.75" customHeight="1" x14ac:dyDescent="0.25">
      <c r="E685" s="36"/>
      <c r="F685" s="37"/>
    </row>
    <row r="686" spans="5:6" ht="15.75" customHeight="1" x14ac:dyDescent="0.25">
      <c r="E686" s="36"/>
      <c r="F686" s="37"/>
    </row>
    <row r="687" spans="5:6" ht="15.75" customHeight="1" x14ac:dyDescent="0.25">
      <c r="E687" s="36"/>
      <c r="F687" s="37"/>
    </row>
    <row r="688" spans="5:6" ht="15.75" customHeight="1" x14ac:dyDescent="0.25">
      <c r="E688" s="36"/>
      <c r="F688" s="37"/>
    </row>
    <row r="689" spans="5:6" ht="15.75" customHeight="1" x14ac:dyDescent="0.25">
      <c r="E689" s="36"/>
      <c r="F689" s="37"/>
    </row>
    <row r="690" spans="5:6" ht="15.75" customHeight="1" x14ac:dyDescent="0.25">
      <c r="E690" s="36"/>
      <c r="F690" s="37"/>
    </row>
    <row r="691" spans="5:6" ht="15.75" customHeight="1" x14ac:dyDescent="0.25">
      <c r="E691" s="36"/>
      <c r="F691" s="37"/>
    </row>
    <row r="692" spans="5:6" ht="15.75" customHeight="1" x14ac:dyDescent="0.25">
      <c r="E692" s="36"/>
      <c r="F692" s="37"/>
    </row>
    <row r="693" spans="5:6" ht="15.75" customHeight="1" x14ac:dyDescent="0.25">
      <c r="E693" s="36"/>
      <c r="F693" s="37"/>
    </row>
    <row r="694" spans="5:6" ht="15.75" customHeight="1" x14ac:dyDescent="0.25">
      <c r="E694" s="36"/>
      <c r="F694" s="37"/>
    </row>
    <row r="695" spans="5:6" ht="15.75" customHeight="1" x14ac:dyDescent="0.25">
      <c r="E695" s="36"/>
      <c r="F695" s="37"/>
    </row>
    <row r="696" spans="5:6" ht="15.75" customHeight="1" x14ac:dyDescent="0.25">
      <c r="E696" s="36"/>
      <c r="F696" s="37"/>
    </row>
    <row r="697" spans="5:6" ht="15.75" customHeight="1" x14ac:dyDescent="0.25">
      <c r="E697" s="36"/>
      <c r="F697" s="37"/>
    </row>
    <row r="698" spans="5:6" ht="15.75" customHeight="1" x14ac:dyDescent="0.25">
      <c r="E698" s="36"/>
      <c r="F698" s="37"/>
    </row>
    <row r="699" spans="5:6" ht="15.75" customHeight="1" x14ac:dyDescent="0.25">
      <c r="E699" s="36"/>
      <c r="F699" s="37"/>
    </row>
    <row r="700" spans="5:6" ht="15.75" customHeight="1" x14ac:dyDescent="0.25">
      <c r="E700" s="36"/>
      <c r="F700" s="37"/>
    </row>
    <row r="701" spans="5:6" ht="15.75" customHeight="1" x14ac:dyDescent="0.25">
      <c r="E701" s="36"/>
      <c r="F701" s="37"/>
    </row>
    <row r="702" spans="5:6" ht="15.75" customHeight="1" x14ac:dyDescent="0.25">
      <c r="E702" s="36"/>
      <c r="F702" s="37"/>
    </row>
    <row r="703" spans="5:6" ht="15.75" customHeight="1" x14ac:dyDescent="0.25">
      <c r="E703" s="36"/>
      <c r="F703" s="37"/>
    </row>
    <row r="704" spans="5:6" ht="15.75" customHeight="1" x14ac:dyDescent="0.25">
      <c r="E704" s="36"/>
      <c r="F704" s="37"/>
    </row>
    <row r="705" spans="5:6" ht="15.75" customHeight="1" x14ac:dyDescent="0.25">
      <c r="E705" s="36"/>
      <c r="F705" s="37"/>
    </row>
    <row r="706" spans="5:6" ht="15.75" customHeight="1" x14ac:dyDescent="0.25">
      <c r="E706" s="36"/>
      <c r="F706" s="37"/>
    </row>
    <row r="707" spans="5:6" ht="15.75" customHeight="1" x14ac:dyDescent="0.25">
      <c r="E707" s="36"/>
      <c r="F707" s="37"/>
    </row>
    <row r="708" spans="5:6" ht="15.75" customHeight="1" x14ac:dyDescent="0.25">
      <c r="E708" s="36"/>
      <c r="F708" s="37"/>
    </row>
    <row r="709" spans="5:6" ht="15.75" customHeight="1" x14ac:dyDescent="0.25">
      <c r="E709" s="36"/>
      <c r="F709" s="37"/>
    </row>
    <row r="710" spans="5:6" ht="15.75" customHeight="1" x14ac:dyDescent="0.25">
      <c r="E710" s="36"/>
      <c r="F710" s="37"/>
    </row>
    <row r="711" spans="5:6" ht="15.75" customHeight="1" x14ac:dyDescent="0.25">
      <c r="E711" s="36"/>
      <c r="F711" s="37"/>
    </row>
    <row r="712" spans="5:6" ht="15.75" customHeight="1" x14ac:dyDescent="0.25">
      <c r="E712" s="36"/>
      <c r="F712" s="37"/>
    </row>
    <row r="713" spans="5:6" ht="15.75" customHeight="1" x14ac:dyDescent="0.25">
      <c r="E713" s="36"/>
      <c r="F713" s="37"/>
    </row>
    <row r="714" spans="5:6" ht="15.75" customHeight="1" x14ac:dyDescent="0.25">
      <c r="E714" s="36"/>
      <c r="F714" s="37"/>
    </row>
    <row r="715" spans="5:6" ht="15.75" customHeight="1" x14ac:dyDescent="0.25">
      <c r="E715" s="36"/>
      <c r="F715" s="37"/>
    </row>
    <row r="716" spans="5:6" ht="15.75" customHeight="1" x14ac:dyDescent="0.25">
      <c r="E716" s="36"/>
      <c r="F716" s="37"/>
    </row>
    <row r="717" spans="5:6" ht="15.75" customHeight="1" x14ac:dyDescent="0.25">
      <c r="E717" s="36"/>
      <c r="F717" s="37"/>
    </row>
    <row r="718" spans="5:6" ht="15.75" customHeight="1" x14ac:dyDescent="0.25">
      <c r="E718" s="36"/>
      <c r="F718" s="37"/>
    </row>
    <row r="719" spans="5:6" ht="15.75" customHeight="1" x14ac:dyDescent="0.25">
      <c r="E719" s="36"/>
      <c r="F719" s="37"/>
    </row>
    <row r="720" spans="5:6" ht="15.75" customHeight="1" x14ac:dyDescent="0.25">
      <c r="E720" s="36"/>
      <c r="F720" s="37"/>
    </row>
    <row r="721" spans="5:6" ht="15.75" customHeight="1" x14ac:dyDescent="0.25">
      <c r="E721" s="36"/>
      <c r="F721" s="37"/>
    </row>
    <row r="722" spans="5:6" ht="15.75" customHeight="1" x14ac:dyDescent="0.25">
      <c r="E722" s="36"/>
      <c r="F722" s="37"/>
    </row>
    <row r="723" spans="5:6" ht="15.75" customHeight="1" x14ac:dyDescent="0.25">
      <c r="E723" s="36"/>
      <c r="F723" s="37"/>
    </row>
    <row r="724" spans="5:6" ht="15.75" customHeight="1" x14ac:dyDescent="0.25">
      <c r="E724" s="36"/>
      <c r="F724" s="37"/>
    </row>
    <row r="725" spans="5:6" ht="15.75" customHeight="1" x14ac:dyDescent="0.25">
      <c r="E725" s="36"/>
      <c r="F725" s="37"/>
    </row>
    <row r="726" spans="5:6" ht="15.75" customHeight="1" x14ac:dyDescent="0.25">
      <c r="E726" s="36"/>
      <c r="F726" s="37"/>
    </row>
    <row r="727" spans="5:6" ht="15.75" customHeight="1" x14ac:dyDescent="0.25">
      <c r="E727" s="36"/>
      <c r="F727" s="37"/>
    </row>
    <row r="728" spans="5:6" ht="15.75" customHeight="1" x14ac:dyDescent="0.25">
      <c r="E728" s="36"/>
      <c r="F728" s="37"/>
    </row>
    <row r="729" spans="5:6" ht="15.75" customHeight="1" x14ac:dyDescent="0.25">
      <c r="E729" s="36"/>
      <c r="F729" s="37"/>
    </row>
    <row r="730" spans="5:6" ht="15.75" customHeight="1" x14ac:dyDescent="0.25">
      <c r="E730" s="36"/>
      <c r="F730" s="37"/>
    </row>
    <row r="731" spans="5:6" ht="15.75" customHeight="1" x14ac:dyDescent="0.25">
      <c r="E731" s="36"/>
      <c r="F731" s="37"/>
    </row>
    <row r="732" spans="5:6" ht="15.75" customHeight="1" x14ac:dyDescent="0.25">
      <c r="E732" s="36"/>
      <c r="F732" s="37"/>
    </row>
    <row r="733" spans="5:6" ht="15.75" customHeight="1" x14ac:dyDescent="0.25">
      <c r="E733" s="36"/>
      <c r="F733" s="37"/>
    </row>
    <row r="734" spans="5:6" ht="15.75" customHeight="1" x14ac:dyDescent="0.25">
      <c r="E734" s="36"/>
      <c r="F734" s="37"/>
    </row>
    <row r="735" spans="5:6" ht="15.75" customHeight="1" x14ac:dyDescent="0.25">
      <c r="E735" s="36"/>
      <c r="F735" s="37"/>
    </row>
    <row r="736" spans="5:6" ht="15.75" customHeight="1" x14ac:dyDescent="0.25">
      <c r="E736" s="36"/>
      <c r="F736" s="37"/>
    </row>
    <row r="737" spans="5:6" ht="15.75" customHeight="1" x14ac:dyDescent="0.25">
      <c r="E737" s="36"/>
      <c r="F737" s="37"/>
    </row>
    <row r="738" spans="5:6" ht="15.75" customHeight="1" x14ac:dyDescent="0.25">
      <c r="E738" s="36"/>
      <c r="F738" s="37"/>
    </row>
    <row r="739" spans="5:6" ht="15.75" customHeight="1" x14ac:dyDescent="0.25">
      <c r="E739" s="36"/>
      <c r="F739" s="37"/>
    </row>
    <row r="740" spans="5:6" ht="15.75" customHeight="1" x14ac:dyDescent="0.25">
      <c r="E740" s="36"/>
      <c r="F740" s="37"/>
    </row>
    <row r="741" spans="5:6" ht="15.75" customHeight="1" x14ac:dyDescent="0.25">
      <c r="E741" s="36"/>
      <c r="F741" s="37"/>
    </row>
    <row r="742" spans="5:6" ht="15.75" customHeight="1" x14ac:dyDescent="0.25">
      <c r="E742" s="36"/>
      <c r="F742" s="37"/>
    </row>
    <row r="743" spans="5:6" ht="15.75" customHeight="1" x14ac:dyDescent="0.25">
      <c r="E743" s="36"/>
      <c r="F743" s="37"/>
    </row>
    <row r="744" spans="5:6" ht="15.75" customHeight="1" x14ac:dyDescent="0.25">
      <c r="E744" s="36"/>
      <c r="F744" s="37"/>
    </row>
    <row r="745" spans="5:6" ht="15.75" customHeight="1" x14ac:dyDescent="0.25">
      <c r="E745" s="36"/>
      <c r="F745" s="37"/>
    </row>
    <row r="746" spans="5:6" ht="15.75" customHeight="1" x14ac:dyDescent="0.25">
      <c r="E746" s="36"/>
      <c r="F746" s="37"/>
    </row>
    <row r="747" spans="5:6" ht="15.75" customHeight="1" x14ac:dyDescent="0.25">
      <c r="E747" s="36"/>
      <c r="F747" s="37"/>
    </row>
    <row r="748" spans="5:6" ht="15.75" customHeight="1" x14ac:dyDescent="0.25">
      <c r="E748" s="36"/>
      <c r="F748" s="37"/>
    </row>
    <row r="749" spans="5:6" ht="15.75" customHeight="1" x14ac:dyDescent="0.25">
      <c r="E749" s="36"/>
      <c r="F749" s="37"/>
    </row>
    <row r="750" spans="5:6" ht="15.75" customHeight="1" x14ac:dyDescent="0.25">
      <c r="E750" s="36"/>
      <c r="F750" s="37"/>
    </row>
    <row r="751" spans="5:6" ht="15.75" customHeight="1" x14ac:dyDescent="0.25">
      <c r="E751" s="36"/>
      <c r="F751" s="37"/>
    </row>
    <row r="752" spans="5:6" ht="15.75" customHeight="1" x14ac:dyDescent="0.25">
      <c r="E752" s="36"/>
      <c r="F752" s="37"/>
    </row>
    <row r="753" spans="5:6" ht="15.75" customHeight="1" x14ac:dyDescent="0.25">
      <c r="E753" s="36"/>
      <c r="F753" s="37"/>
    </row>
    <row r="754" spans="5:6" ht="15.75" customHeight="1" x14ac:dyDescent="0.25">
      <c r="E754" s="36"/>
      <c r="F754" s="37"/>
    </row>
    <row r="755" spans="5:6" ht="15.75" customHeight="1" x14ac:dyDescent="0.25">
      <c r="E755" s="36"/>
      <c r="F755" s="37"/>
    </row>
    <row r="756" spans="5:6" ht="15.75" customHeight="1" x14ac:dyDescent="0.25">
      <c r="E756" s="36"/>
      <c r="F756" s="37"/>
    </row>
    <row r="757" spans="5:6" ht="15.75" customHeight="1" x14ac:dyDescent="0.25">
      <c r="E757" s="36"/>
      <c r="F757" s="37"/>
    </row>
    <row r="758" spans="5:6" ht="15.75" customHeight="1" x14ac:dyDescent="0.25">
      <c r="E758" s="36"/>
      <c r="F758" s="37"/>
    </row>
    <row r="759" spans="5:6" ht="15.75" customHeight="1" x14ac:dyDescent="0.25">
      <c r="E759" s="36"/>
      <c r="F759" s="37"/>
    </row>
    <row r="760" spans="5:6" ht="15.75" customHeight="1" x14ac:dyDescent="0.25">
      <c r="E760" s="36"/>
      <c r="F760" s="37"/>
    </row>
    <row r="761" spans="5:6" ht="15.75" customHeight="1" x14ac:dyDescent="0.25">
      <c r="E761" s="36"/>
      <c r="F761" s="37"/>
    </row>
    <row r="762" spans="5:6" ht="15.75" customHeight="1" x14ac:dyDescent="0.25">
      <c r="E762" s="36"/>
      <c r="F762" s="37"/>
    </row>
    <row r="763" spans="5:6" ht="15.75" customHeight="1" x14ac:dyDescent="0.25">
      <c r="E763" s="36"/>
      <c r="F763" s="37"/>
    </row>
    <row r="764" spans="5:6" ht="15.75" customHeight="1" x14ac:dyDescent="0.25">
      <c r="E764" s="36"/>
      <c r="F764" s="37"/>
    </row>
    <row r="765" spans="5:6" ht="15.75" customHeight="1" x14ac:dyDescent="0.25">
      <c r="E765" s="36"/>
      <c r="F765" s="37"/>
    </row>
    <row r="766" spans="5:6" ht="15.75" customHeight="1" x14ac:dyDescent="0.25">
      <c r="E766" s="36"/>
      <c r="F766" s="37"/>
    </row>
    <row r="767" spans="5:6" ht="15.75" customHeight="1" x14ac:dyDescent="0.25">
      <c r="E767" s="36"/>
      <c r="F767" s="37"/>
    </row>
    <row r="768" spans="5:6" ht="15.75" customHeight="1" x14ac:dyDescent="0.25">
      <c r="E768" s="36"/>
      <c r="F768" s="37"/>
    </row>
    <row r="769" spans="5:6" ht="15.75" customHeight="1" x14ac:dyDescent="0.25">
      <c r="E769" s="36"/>
      <c r="F769" s="37"/>
    </row>
    <row r="770" spans="5:6" ht="15.75" customHeight="1" x14ac:dyDescent="0.25">
      <c r="E770" s="36"/>
      <c r="F770" s="37"/>
    </row>
    <row r="771" spans="5:6" ht="15.75" customHeight="1" x14ac:dyDescent="0.25">
      <c r="E771" s="36"/>
      <c r="F771" s="37"/>
    </row>
    <row r="772" spans="5:6" ht="15.75" customHeight="1" x14ac:dyDescent="0.25">
      <c r="E772" s="36"/>
      <c r="F772" s="37"/>
    </row>
    <row r="773" spans="5:6" ht="15.75" customHeight="1" x14ac:dyDescent="0.25">
      <c r="E773" s="36"/>
      <c r="F773" s="37"/>
    </row>
    <row r="774" spans="5:6" ht="15.75" customHeight="1" x14ac:dyDescent="0.25">
      <c r="E774" s="36"/>
      <c r="F774" s="37"/>
    </row>
    <row r="775" spans="5:6" ht="15.75" customHeight="1" x14ac:dyDescent="0.25">
      <c r="E775" s="36"/>
      <c r="F775" s="37"/>
    </row>
    <row r="776" spans="5:6" ht="15.75" customHeight="1" x14ac:dyDescent="0.25">
      <c r="E776" s="36"/>
      <c r="F776" s="37"/>
    </row>
    <row r="777" spans="5:6" ht="15.75" customHeight="1" x14ac:dyDescent="0.25">
      <c r="E777" s="36"/>
      <c r="F777" s="37"/>
    </row>
    <row r="778" spans="5:6" ht="15.75" customHeight="1" x14ac:dyDescent="0.25">
      <c r="E778" s="36"/>
      <c r="F778" s="37"/>
    </row>
    <row r="779" spans="5:6" ht="15.75" customHeight="1" x14ac:dyDescent="0.25">
      <c r="E779" s="36"/>
      <c r="F779" s="37"/>
    </row>
    <row r="780" spans="5:6" ht="15.75" customHeight="1" x14ac:dyDescent="0.25">
      <c r="E780" s="36"/>
      <c r="F780" s="37"/>
    </row>
    <row r="781" spans="5:6" ht="15.75" customHeight="1" x14ac:dyDescent="0.25">
      <c r="E781" s="36"/>
      <c r="F781" s="37"/>
    </row>
    <row r="782" spans="5:6" ht="15.75" customHeight="1" x14ac:dyDescent="0.25">
      <c r="E782" s="36"/>
      <c r="F782" s="37"/>
    </row>
    <row r="783" spans="5:6" ht="15.75" customHeight="1" x14ac:dyDescent="0.25">
      <c r="E783" s="36"/>
      <c r="F783" s="37"/>
    </row>
    <row r="784" spans="5:6" ht="15.75" customHeight="1" x14ac:dyDescent="0.25">
      <c r="E784" s="36"/>
      <c r="F784" s="37"/>
    </row>
    <row r="785" spans="5:6" ht="15.75" customHeight="1" x14ac:dyDescent="0.25">
      <c r="E785" s="36"/>
      <c r="F785" s="37"/>
    </row>
    <row r="786" spans="5:6" ht="15.75" customHeight="1" x14ac:dyDescent="0.25">
      <c r="E786" s="36"/>
      <c r="F786" s="37"/>
    </row>
    <row r="787" spans="5:6" ht="15.75" customHeight="1" x14ac:dyDescent="0.25">
      <c r="E787" s="36"/>
      <c r="F787" s="37"/>
    </row>
    <row r="788" spans="5:6" ht="15.75" customHeight="1" x14ac:dyDescent="0.25">
      <c r="E788" s="36"/>
      <c r="F788" s="37"/>
    </row>
    <row r="789" spans="5:6" ht="15.75" customHeight="1" x14ac:dyDescent="0.25">
      <c r="E789" s="36"/>
      <c r="F789" s="37"/>
    </row>
    <row r="790" spans="5:6" ht="15.75" customHeight="1" x14ac:dyDescent="0.25">
      <c r="E790" s="36"/>
      <c r="F790" s="37"/>
    </row>
    <row r="791" spans="5:6" ht="15.75" customHeight="1" x14ac:dyDescent="0.25">
      <c r="E791" s="36"/>
      <c r="F791" s="37"/>
    </row>
    <row r="792" spans="5:6" ht="15.75" customHeight="1" x14ac:dyDescent="0.25">
      <c r="E792" s="36"/>
      <c r="F792" s="37"/>
    </row>
    <row r="793" spans="5:6" ht="15.75" customHeight="1" x14ac:dyDescent="0.25">
      <c r="E793" s="36"/>
      <c r="F793" s="37"/>
    </row>
    <row r="794" spans="5:6" ht="15.75" customHeight="1" x14ac:dyDescent="0.25">
      <c r="E794" s="36"/>
      <c r="F794" s="37"/>
    </row>
    <row r="795" spans="5:6" ht="15.75" customHeight="1" x14ac:dyDescent="0.25">
      <c r="E795" s="36"/>
      <c r="F795" s="37"/>
    </row>
    <row r="796" spans="5:6" ht="15.75" customHeight="1" x14ac:dyDescent="0.25">
      <c r="E796" s="36"/>
      <c r="F796" s="37"/>
    </row>
    <row r="797" spans="5:6" ht="15.75" customHeight="1" x14ac:dyDescent="0.25">
      <c r="E797" s="36"/>
      <c r="F797" s="37"/>
    </row>
    <row r="798" spans="5:6" ht="15.75" customHeight="1" x14ac:dyDescent="0.25">
      <c r="E798" s="36"/>
      <c r="F798" s="37"/>
    </row>
    <row r="799" spans="5:6" ht="15.75" customHeight="1" x14ac:dyDescent="0.25">
      <c r="E799" s="36"/>
      <c r="F799" s="37"/>
    </row>
    <row r="800" spans="5:6" ht="15.75" customHeight="1" x14ac:dyDescent="0.25">
      <c r="E800" s="36"/>
      <c r="F800" s="37"/>
    </row>
    <row r="801" spans="5:6" ht="15.75" customHeight="1" x14ac:dyDescent="0.25">
      <c r="E801" s="36"/>
      <c r="F801" s="37"/>
    </row>
    <row r="802" spans="5:6" ht="15.75" customHeight="1" x14ac:dyDescent="0.25">
      <c r="E802" s="36"/>
      <c r="F802" s="37"/>
    </row>
    <row r="803" spans="5:6" ht="15.75" customHeight="1" x14ac:dyDescent="0.25">
      <c r="E803" s="36"/>
      <c r="F803" s="37"/>
    </row>
    <row r="804" spans="5:6" ht="15.75" customHeight="1" x14ac:dyDescent="0.25">
      <c r="E804" s="36"/>
      <c r="F804" s="37"/>
    </row>
    <row r="805" spans="5:6" ht="15.75" customHeight="1" x14ac:dyDescent="0.25">
      <c r="E805" s="36"/>
      <c r="F805" s="37"/>
    </row>
    <row r="806" spans="5:6" ht="15.75" customHeight="1" x14ac:dyDescent="0.25">
      <c r="E806" s="36"/>
      <c r="F806" s="37"/>
    </row>
    <row r="807" spans="5:6" ht="15.75" customHeight="1" x14ac:dyDescent="0.25">
      <c r="E807" s="36"/>
      <c r="F807" s="37"/>
    </row>
    <row r="808" spans="5:6" ht="15.75" customHeight="1" x14ac:dyDescent="0.25">
      <c r="E808" s="36"/>
      <c r="F808" s="37"/>
    </row>
    <row r="809" spans="5:6" ht="15.75" customHeight="1" x14ac:dyDescent="0.25">
      <c r="E809" s="36"/>
      <c r="F809" s="37"/>
    </row>
    <row r="810" spans="5:6" ht="15.75" customHeight="1" x14ac:dyDescent="0.25">
      <c r="E810" s="36"/>
      <c r="F810" s="37"/>
    </row>
    <row r="811" spans="5:6" ht="15.75" customHeight="1" x14ac:dyDescent="0.25">
      <c r="E811" s="36"/>
      <c r="F811" s="37"/>
    </row>
    <row r="812" spans="5:6" ht="15.75" customHeight="1" x14ac:dyDescent="0.25">
      <c r="E812" s="36"/>
      <c r="F812" s="37"/>
    </row>
    <row r="813" spans="5:6" ht="15.75" customHeight="1" x14ac:dyDescent="0.25">
      <c r="E813" s="36"/>
      <c r="F813" s="37"/>
    </row>
    <row r="814" spans="5:6" ht="15.75" customHeight="1" x14ac:dyDescent="0.25">
      <c r="E814" s="36"/>
      <c r="F814" s="37"/>
    </row>
    <row r="815" spans="5:6" ht="15.75" customHeight="1" x14ac:dyDescent="0.25">
      <c r="E815" s="36"/>
      <c r="F815" s="37"/>
    </row>
    <row r="816" spans="5:6" ht="15.75" customHeight="1" x14ac:dyDescent="0.25">
      <c r="E816" s="36"/>
      <c r="F816" s="37"/>
    </row>
    <row r="817" spans="5:6" ht="15.75" customHeight="1" x14ac:dyDescent="0.25">
      <c r="E817" s="36"/>
      <c r="F817" s="37"/>
    </row>
    <row r="818" spans="5:6" ht="15.75" customHeight="1" x14ac:dyDescent="0.25">
      <c r="E818" s="36"/>
      <c r="F818" s="37"/>
    </row>
    <row r="819" spans="5:6" ht="15.75" customHeight="1" x14ac:dyDescent="0.25">
      <c r="E819" s="36"/>
      <c r="F819" s="37"/>
    </row>
    <row r="820" spans="5:6" ht="15.75" customHeight="1" x14ac:dyDescent="0.25">
      <c r="E820" s="36"/>
      <c r="F820" s="37"/>
    </row>
    <row r="821" spans="5:6" ht="15.75" customHeight="1" x14ac:dyDescent="0.25">
      <c r="E821" s="36"/>
      <c r="F821" s="37"/>
    </row>
    <row r="822" spans="5:6" ht="15.75" customHeight="1" x14ac:dyDescent="0.25">
      <c r="E822" s="36"/>
      <c r="F822" s="37"/>
    </row>
    <row r="823" spans="5:6" ht="15.75" customHeight="1" x14ac:dyDescent="0.25">
      <c r="E823" s="36"/>
      <c r="F823" s="37"/>
    </row>
    <row r="824" spans="5:6" ht="15.75" customHeight="1" x14ac:dyDescent="0.25">
      <c r="E824" s="36"/>
      <c r="F824" s="37"/>
    </row>
    <row r="825" spans="5:6" ht="15.75" customHeight="1" x14ac:dyDescent="0.25">
      <c r="E825" s="36"/>
      <c r="F825" s="37"/>
    </row>
    <row r="826" spans="5:6" ht="15.75" customHeight="1" x14ac:dyDescent="0.25">
      <c r="E826" s="36"/>
      <c r="F826" s="37"/>
    </row>
    <row r="827" spans="5:6" ht="15.75" customHeight="1" x14ac:dyDescent="0.25">
      <c r="E827" s="36"/>
      <c r="F827" s="37"/>
    </row>
    <row r="828" spans="5:6" ht="15.75" customHeight="1" x14ac:dyDescent="0.25">
      <c r="E828" s="36"/>
      <c r="F828" s="37"/>
    </row>
    <row r="829" spans="5:6" ht="15.75" customHeight="1" x14ac:dyDescent="0.25">
      <c r="E829" s="36"/>
      <c r="F829" s="37"/>
    </row>
    <row r="830" spans="5:6" ht="15.75" customHeight="1" x14ac:dyDescent="0.25">
      <c r="E830" s="36"/>
      <c r="F830" s="37"/>
    </row>
    <row r="831" spans="5:6" ht="15.75" customHeight="1" x14ac:dyDescent="0.25">
      <c r="E831" s="36"/>
      <c r="F831" s="37"/>
    </row>
    <row r="832" spans="5:6" ht="15.75" customHeight="1" x14ac:dyDescent="0.25">
      <c r="E832" s="36"/>
      <c r="F832" s="37"/>
    </row>
    <row r="833" spans="5:6" ht="15.75" customHeight="1" x14ac:dyDescent="0.25">
      <c r="E833" s="36"/>
      <c r="F833" s="37"/>
    </row>
    <row r="834" spans="5:6" ht="15.75" customHeight="1" x14ac:dyDescent="0.25">
      <c r="E834" s="36"/>
      <c r="F834" s="37"/>
    </row>
    <row r="835" spans="5:6" ht="15.75" customHeight="1" x14ac:dyDescent="0.25">
      <c r="E835" s="36"/>
      <c r="F835" s="37"/>
    </row>
    <row r="836" spans="5:6" ht="15.75" customHeight="1" x14ac:dyDescent="0.25">
      <c r="E836" s="36"/>
      <c r="F836" s="37"/>
    </row>
    <row r="837" spans="5:6" ht="15.75" customHeight="1" x14ac:dyDescent="0.25">
      <c r="E837" s="36"/>
      <c r="F837" s="37"/>
    </row>
    <row r="838" spans="5:6" ht="15.75" customHeight="1" x14ac:dyDescent="0.25">
      <c r="E838" s="36"/>
      <c r="F838" s="37"/>
    </row>
    <row r="839" spans="5:6" ht="15.75" customHeight="1" x14ac:dyDescent="0.25">
      <c r="E839" s="36"/>
      <c r="F839" s="37"/>
    </row>
    <row r="840" spans="5:6" ht="15.75" customHeight="1" x14ac:dyDescent="0.25">
      <c r="E840" s="36"/>
      <c r="F840" s="37"/>
    </row>
    <row r="841" spans="5:6" ht="15.75" customHeight="1" x14ac:dyDescent="0.25">
      <c r="E841" s="36"/>
      <c r="F841" s="37"/>
    </row>
    <row r="842" spans="5:6" ht="15.75" customHeight="1" x14ac:dyDescent="0.25">
      <c r="E842" s="36"/>
      <c r="F842" s="37"/>
    </row>
    <row r="843" spans="5:6" ht="15.75" customHeight="1" x14ac:dyDescent="0.25">
      <c r="E843" s="36"/>
      <c r="F843" s="37"/>
    </row>
    <row r="844" spans="5:6" ht="15.75" customHeight="1" x14ac:dyDescent="0.25">
      <c r="E844" s="36"/>
      <c r="F844" s="37"/>
    </row>
    <row r="845" spans="5:6" ht="15.75" customHeight="1" x14ac:dyDescent="0.25">
      <c r="E845" s="36"/>
      <c r="F845" s="37"/>
    </row>
    <row r="846" spans="5:6" ht="15.75" customHeight="1" x14ac:dyDescent="0.25">
      <c r="E846" s="36"/>
      <c r="F846" s="37"/>
    </row>
    <row r="847" spans="5:6" ht="15.75" customHeight="1" x14ac:dyDescent="0.25">
      <c r="E847" s="36"/>
      <c r="F847" s="37"/>
    </row>
    <row r="848" spans="5:6" ht="15.75" customHeight="1" x14ac:dyDescent="0.25">
      <c r="E848" s="36"/>
      <c r="F848" s="37"/>
    </row>
    <row r="849" spans="5:6" ht="15.75" customHeight="1" x14ac:dyDescent="0.25">
      <c r="E849" s="36"/>
      <c r="F849" s="37"/>
    </row>
    <row r="850" spans="5:6" ht="15.75" customHeight="1" x14ac:dyDescent="0.25">
      <c r="E850" s="36"/>
      <c r="F850" s="37"/>
    </row>
    <row r="851" spans="5:6" ht="15.75" customHeight="1" x14ac:dyDescent="0.25">
      <c r="E851" s="36"/>
      <c r="F851" s="37"/>
    </row>
    <row r="852" spans="5:6" ht="15.75" customHeight="1" x14ac:dyDescent="0.25">
      <c r="E852" s="36"/>
      <c r="F852" s="37"/>
    </row>
    <row r="853" spans="5:6" ht="15.75" customHeight="1" x14ac:dyDescent="0.25">
      <c r="E853" s="36"/>
      <c r="F853" s="37"/>
    </row>
    <row r="854" spans="5:6" ht="15.75" customHeight="1" x14ac:dyDescent="0.25">
      <c r="E854" s="36"/>
      <c r="F854" s="37"/>
    </row>
    <row r="855" spans="5:6" ht="15.75" customHeight="1" x14ac:dyDescent="0.25">
      <c r="E855" s="36"/>
      <c r="F855" s="37"/>
    </row>
    <row r="856" spans="5:6" ht="15.75" customHeight="1" x14ac:dyDescent="0.25">
      <c r="E856" s="36"/>
      <c r="F856" s="37"/>
    </row>
    <row r="857" spans="5:6" ht="15.75" customHeight="1" x14ac:dyDescent="0.25">
      <c r="E857" s="36"/>
      <c r="F857" s="37"/>
    </row>
    <row r="858" spans="5:6" ht="15.75" customHeight="1" x14ac:dyDescent="0.25">
      <c r="E858" s="36"/>
      <c r="F858" s="37"/>
    </row>
    <row r="859" spans="5:6" ht="15.75" customHeight="1" x14ac:dyDescent="0.25">
      <c r="E859" s="36"/>
      <c r="F859" s="37"/>
    </row>
    <row r="860" spans="5:6" ht="15.75" customHeight="1" x14ac:dyDescent="0.25">
      <c r="E860" s="36"/>
      <c r="F860" s="37"/>
    </row>
    <row r="861" spans="5:6" ht="15.75" customHeight="1" x14ac:dyDescent="0.25">
      <c r="E861" s="36"/>
      <c r="F861" s="37"/>
    </row>
    <row r="862" spans="5:6" ht="15.75" customHeight="1" x14ac:dyDescent="0.25">
      <c r="E862" s="36"/>
      <c r="F862" s="37"/>
    </row>
    <row r="863" spans="5:6" ht="15.75" customHeight="1" x14ac:dyDescent="0.25">
      <c r="E863" s="36"/>
      <c r="F863" s="37"/>
    </row>
    <row r="864" spans="5:6" ht="15.75" customHeight="1" x14ac:dyDescent="0.25">
      <c r="E864" s="36"/>
      <c r="F864" s="37"/>
    </row>
    <row r="865" spans="5:6" ht="15.75" customHeight="1" x14ac:dyDescent="0.25">
      <c r="E865" s="36"/>
      <c r="F865" s="37"/>
    </row>
    <row r="866" spans="5:6" ht="15.75" customHeight="1" x14ac:dyDescent="0.25">
      <c r="E866" s="36"/>
      <c r="F866" s="37"/>
    </row>
    <row r="867" spans="5:6" ht="15.75" customHeight="1" x14ac:dyDescent="0.25">
      <c r="E867" s="36"/>
      <c r="F867" s="37"/>
    </row>
    <row r="868" spans="5:6" ht="15.75" customHeight="1" x14ac:dyDescent="0.25">
      <c r="E868" s="36"/>
      <c r="F868" s="37"/>
    </row>
    <row r="869" spans="5:6" ht="15.75" customHeight="1" x14ac:dyDescent="0.25">
      <c r="E869" s="36"/>
      <c r="F869" s="37"/>
    </row>
    <row r="870" spans="5:6" ht="15.75" customHeight="1" x14ac:dyDescent="0.25">
      <c r="E870" s="36"/>
      <c r="F870" s="37"/>
    </row>
    <row r="871" spans="5:6" ht="15.75" customHeight="1" x14ac:dyDescent="0.25">
      <c r="E871" s="36"/>
      <c r="F871" s="37"/>
    </row>
    <row r="872" spans="5:6" ht="15.75" customHeight="1" x14ac:dyDescent="0.25">
      <c r="E872" s="36"/>
      <c r="F872" s="37"/>
    </row>
    <row r="873" spans="5:6" ht="15.75" customHeight="1" x14ac:dyDescent="0.25">
      <c r="E873" s="36"/>
      <c r="F873" s="37"/>
    </row>
    <row r="874" spans="5:6" ht="15.75" customHeight="1" x14ac:dyDescent="0.25">
      <c r="E874" s="36"/>
      <c r="F874" s="37"/>
    </row>
    <row r="875" spans="5:6" ht="15.75" customHeight="1" x14ac:dyDescent="0.25">
      <c r="E875" s="36"/>
      <c r="F875" s="37"/>
    </row>
    <row r="876" spans="5:6" ht="15.75" customHeight="1" x14ac:dyDescent="0.25">
      <c r="E876" s="36"/>
      <c r="F876" s="37"/>
    </row>
    <row r="877" spans="5:6" ht="15.75" customHeight="1" x14ac:dyDescent="0.25">
      <c r="E877" s="36"/>
      <c r="F877" s="37"/>
    </row>
    <row r="878" spans="5:6" ht="15.75" customHeight="1" x14ac:dyDescent="0.25">
      <c r="E878" s="36"/>
      <c r="F878" s="37"/>
    </row>
    <row r="879" spans="5:6" ht="15.75" customHeight="1" x14ac:dyDescent="0.25">
      <c r="E879" s="36"/>
      <c r="F879" s="37"/>
    </row>
    <row r="880" spans="5:6" ht="15.75" customHeight="1" x14ac:dyDescent="0.25">
      <c r="E880" s="36"/>
      <c r="F880" s="37"/>
    </row>
    <row r="881" spans="5:6" ht="15.75" customHeight="1" x14ac:dyDescent="0.25">
      <c r="E881" s="36"/>
      <c r="F881" s="37"/>
    </row>
    <row r="882" spans="5:6" ht="15.75" customHeight="1" x14ac:dyDescent="0.25">
      <c r="E882" s="36"/>
      <c r="F882" s="37"/>
    </row>
    <row r="883" spans="5:6" ht="15.75" customHeight="1" x14ac:dyDescent="0.25">
      <c r="E883" s="36"/>
      <c r="F883" s="37"/>
    </row>
    <row r="884" spans="5:6" ht="15.75" customHeight="1" x14ac:dyDescent="0.25">
      <c r="E884" s="36"/>
      <c r="F884" s="37"/>
    </row>
    <row r="885" spans="5:6" ht="15.75" customHeight="1" x14ac:dyDescent="0.25">
      <c r="E885" s="36"/>
      <c r="F885" s="37"/>
    </row>
    <row r="886" spans="5:6" ht="15.75" customHeight="1" x14ac:dyDescent="0.25">
      <c r="E886" s="36"/>
      <c r="F886" s="37"/>
    </row>
    <row r="887" spans="5:6" ht="15.75" customHeight="1" x14ac:dyDescent="0.25">
      <c r="E887" s="36"/>
      <c r="F887" s="37"/>
    </row>
    <row r="888" spans="5:6" ht="15.75" customHeight="1" x14ac:dyDescent="0.25">
      <c r="E888" s="36"/>
      <c r="F888" s="37"/>
    </row>
    <row r="889" spans="5:6" ht="15.75" customHeight="1" x14ac:dyDescent="0.25">
      <c r="E889" s="36"/>
      <c r="F889" s="37"/>
    </row>
    <row r="890" spans="5:6" ht="15.75" customHeight="1" x14ac:dyDescent="0.25">
      <c r="E890" s="36"/>
      <c r="F890" s="37"/>
    </row>
    <row r="891" spans="5:6" ht="15.75" customHeight="1" x14ac:dyDescent="0.25">
      <c r="E891" s="36"/>
      <c r="F891" s="37"/>
    </row>
    <row r="892" spans="5:6" ht="15.75" customHeight="1" x14ac:dyDescent="0.25">
      <c r="E892" s="36"/>
      <c r="F892" s="37"/>
    </row>
    <row r="893" spans="5:6" ht="15.75" customHeight="1" x14ac:dyDescent="0.25">
      <c r="E893" s="36"/>
      <c r="F893" s="37"/>
    </row>
    <row r="894" spans="5:6" ht="15.75" customHeight="1" x14ac:dyDescent="0.25">
      <c r="E894" s="36"/>
      <c r="F894" s="37"/>
    </row>
    <row r="895" spans="5:6" ht="15.75" customHeight="1" x14ac:dyDescent="0.25">
      <c r="E895" s="36"/>
      <c r="F895" s="37"/>
    </row>
    <row r="896" spans="5:6" ht="15.75" customHeight="1" x14ac:dyDescent="0.25">
      <c r="E896" s="36"/>
      <c r="F896" s="37"/>
    </row>
    <row r="897" spans="5:6" ht="15.75" customHeight="1" x14ac:dyDescent="0.25">
      <c r="E897" s="36"/>
      <c r="F897" s="37"/>
    </row>
    <row r="898" spans="5:6" ht="15.75" customHeight="1" x14ac:dyDescent="0.25">
      <c r="E898" s="36"/>
      <c r="F898" s="37"/>
    </row>
    <row r="899" spans="5:6" ht="15.75" customHeight="1" x14ac:dyDescent="0.25">
      <c r="E899" s="36"/>
      <c r="F899" s="37"/>
    </row>
    <row r="900" spans="5:6" ht="15.75" customHeight="1" x14ac:dyDescent="0.25">
      <c r="E900" s="36"/>
      <c r="F900" s="37"/>
    </row>
    <row r="901" spans="5:6" ht="15.75" customHeight="1" x14ac:dyDescent="0.25">
      <c r="E901" s="36"/>
      <c r="F901" s="37"/>
    </row>
    <row r="902" spans="5:6" ht="15.75" customHeight="1" x14ac:dyDescent="0.25">
      <c r="E902" s="36"/>
      <c r="F902" s="37"/>
    </row>
    <row r="903" spans="5:6" ht="15.75" customHeight="1" x14ac:dyDescent="0.25">
      <c r="E903" s="36"/>
      <c r="F903" s="37"/>
    </row>
    <row r="904" spans="5:6" ht="15.75" customHeight="1" x14ac:dyDescent="0.25">
      <c r="E904" s="36"/>
      <c r="F904" s="37"/>
    </row>
    <row r="905" spans="5:6" ht="15.75" customHeight="1" x14ac:dyDescent="0.25">
      <c r="E905" s="36"/>
      <c r="F905" s="37"/>
    </row>
    <row r="906" spans="5:6" ht="15.75" customHeight="1" x14ac:dyDescent="0.25">
      <c r="E906" s="36"/>
      <c r="F906" s="37"/>
    </row>
    <row r="907" spans="5:6" ht="15.75" customHeight="1" x14ac:dyDescent="0.25">
      <c r="E907" s="36"/>
      <c r="F907" s="37"/>
    </row>
    <row r="908" spans="5:6" ht="15.75" customHeight="1" x14ac:dyDescent="0.25">
      <c r="E908" s="36"/>
      <c r="F908" s="37"/>
    </row>
    <row r="909" spans="5:6" ht="15.75" customHeight="1" x14ac:dyDescent="0.25">
      <c r="E909" s="36"/>
      <c r="F909" s="37"/>
    </row>
    <row r="910" spans="5:6" ht="15.75" customHeight="1" x14ac:dyDescent="0.25">
      <c r="E910" s="36"/>
      <c r="F910" s="37"/>
    </row>
    <row r="911" spans="5:6" ht="15.75" customHeight="1" x14ac:dyDescent="0.25">
      <c r="E911" s="36"/>
      <c r="F911" s="37"/>
    </row>
    <row r="912" spans="5:6" ht="15.75" customHeight="1" x14ac:dyDescent="0.25">
      <c r="E912" s="36"/>
      <c r="F912" s="37"/>
    </row>
    <row r="913" spans="5:6" ht="15.75" customHeight="1" x14ac:dyDescent="0.25">
      <c r="E913" s="36"/>
      <c r="F913" s="37"/>
    </row>
    <row r="914" spans="5:6" ht="15.75" customHeight="1" x14ac:dyDescent="0.25">
      <c r="E914" s="36"/>
      <c r="F914" s="37"/>
    </row>
    <row r="915" spans="5:6" ht="15.75" customHeight="1" x14ac:dyDescent="0.25">
      <c r="E915" s="36"/>
      <c r="F915" s="37"/>
    </row>
    <row r="916" spans="5:6" ht="15.75" customHeight="1" x14ac:dyDescent="0.25">
      <c r="E916" s="36"/>
      <c r="F916" s="37"/>
    </row>
    <row r="917" spans="5:6" ht="15.75" customHeight="1" x14ac:dyDescent="0.25">
      <c r="E917" s="36"/>
      <c r="F917" s="37"/>
    </row>
    <row r="918" spans="5:6" ht="15.75" customHeight="1" x14ac:dyDescent="0.25">
      <c r="E918" s="36"/>
      <c r="F918" s="37"/>
    </row>
    <row r="919" spans="5:6" ht="15.75" customHeight="1" x14ac:dyDescent="0.25">
      <c r="E919" s="36"/>
      <c r="F919" s="37"/>
    </row>
    <row r="920" spans="5:6" ht="15.75" customHeight="1" x14ac:dyDescent="0.25">
      <c r="E920" s="36"/>
      <c r="F920" s="37"/>
    </row>
    <row r="921" spans="5:6" ht="15.75" customHeight="1" x14ac:dyDescent="0.25">
      <c r="E921" s="36"/>
      <c r="F921" s="37"/>
    </row>
    <row r="922" spans="5:6" ht="15.75" customHeight="1" x14ac:dyDescent="0.25">
      <c r="E922" s="36"/>
      <c r="F922" s="37"/>
    </row>
    <row r="923" spans="5:6" ht="15.75" customHeight="1" x14ac:dyDescent="0.25">
      <c r="E923" s="36"/>
      <c r="F923" s="37"/>
    </row>
    <row r="924" spans="5:6" ht="15.75" customHeight="1" x14ac:dyDescent="0.25">
      <c r="E924" s="36"/>
      <c r="F924" s="37"/>
    </row>
    <row r="925" spans="5:6" ht="15.75" customHeight="1" x14ac:dyDescent="0.25">
      <c r="E925" s="36"/>
      <c r="F925" s="37"/>
    </row>
    <row r="926" spans="5:6" ht="15.75" customHeight="1" x14ac:dyDescent="0.25">
      <c r="E926" s="36"/>
      <c r="F926" s="37"/>
    </row>
    <row r="927" spans="5:6" ht="15.75" customHeight="1" x14ac:dyDescent="0.25">
      <c r="E927" s="36"/>
      <c r="F927" s="37"/>
    </row>
    <row r="928" spans="5:6" ht="15.75" customHeight="1" x14ac:dyDescent="0.25">
      <c r="E928" s="36"/>
      <c r="F928" s="37"/>
    </row>
    <row r="929" spans="5:6" ht="15.75" customHeight="1" x14ac:dyDescent="0.25">
      <c r="E929" s="36"/>
      <c r="F929" s="37"/>
    </row>
    <row r="930" spans="5:6" ht="15.75" customHeight="1" x14ac:dyDescent="0.25">
      <c r="E930" s="36"/>
      <c r="F930" s="37"/>
    </row>
    <row r="931" spans="5:6" ht="15.75" customHeight="1" x14ac:dyDescent="0.25">
      <c r="E931" s="36"/>
      <c r="F931" s="37"/>
    </row>
    <row r="932" spans="5:6" ht="15.75" customHeight="1" x14ac:dyDescent="0.25">
      <c r="E932" s="36"/>
      <c r="F932" s="37"/>
    </row>
    <row r="933" spans="5:6" ht="15.75" customHeight="1" x14ac:dyDescent="0.25">
      <c r="E933" s="36"/>
      <c r="F933" s="37"/>
    </row>
    <row r="934" spans="5:6" ht="15.75" customHeight="1" x14ac:dyDescent="0.25">
      <c r="E934" s="36"/>
      <c r="F934" s="37"/>
    </row>
    <row r="935" spans="5:6" ht="15.75" customHeight="1" x14ac:dyDescent="0.25">
      <c r="E935" s="36"/>
      <c r="F935" s="37"/>
    </row>
    <row r="936" spans="5:6" ht="15.75" customHeight="1" x14ac:dyDescent="0.25">
      <c r="E936" s="36"/>
      <c r="F936" s="37"/>
    </row>
    <row r="937" spans="5:6" ht="15.75" customHeight="1" x14ac:dyDescent="0.25">
      <c r="E937" s="36"/>
      <c r="F937" s="37"/>
    </row>
    <row r="938" spans="5:6" ht="15.75" customHeight="1" x14ac:dyDescent="0.25">
      <c r="E938" s="36"/>
      <c r="F938" s="37"/>
    </row>
    <row r="939" spans="5:6" ht="15.75" customHeight="1" x14ac:dyDescent="0.25">
      <c r="E939" s="36"/>
      <c r="F939" s="37"/>
    </row>
    <row r="940" spans="5:6" ht="15.75" customHeight="1" x14ac:dyDescent="0.25">
      <c r="E940" s="36"/>
      <c r="F940" s="37"/>
    </row>
    <row r="941" spans="5:6" ht="15.75" customHeight="1" x14ac:dyDescent="0.25">
      <c r="E941" s="36"/>
      <c r="F941" s="37"/>
    </row>
    <row r="942" spans="5:6" ht="15.75" customHeight="1" x14ac:dyDescent="0.25">
      <c r="E942" s="36"/>
      <c r="F942" s="37"/>
    </row>
    <row r="943" spans="5:6" ht="15.75" customHeight="1" x14ac:dyDescent="0.25">
      <c r="E943" s="36"/>
      <c r="F943" s="37"/>
    </row>
    <row r="944" spans="5:6" ht="15.75" customHeight="1" x14ac:dyDescent="0.25">
      <c r="E944" s="36"/>
      <c r="F944" s="37"/>
    </row>
    <row r="945" spans="5:6" ht="15.75" customHeight="1" x14ac:dyDescent="0.25">
      <c r="E945" s="36"/>
      <c r="F945" s="37"/>
    </row>
    <row r="946" spans="5:6" ht="15.75" customHeight="1" x14ac:dyDescent="0.25">
      <c r="E946" s="36"/>
      <c r="F946" s="37"/>
    </row>
    <row r="947" spans="5:6" ht="15.75" customHeight="1" x14ac:dyDescent="0.25">
      <c r="E947" s="36"/>
      <c r="F947" s="37"/>
    </row>
    <row r="948" spans="5:6" ht="15.75" customHeight="1" x14ac:dyDescent="0.25">
      <c r="E948" s="36"/>
      <c r="F948" s="37"/>
    </row>
    <row r="949" spans="5:6" ht="15.75" customHeight="1" x14ac:dyDescent="0.25">
      <c r="E949" s="36"/>
      <c r="F949" s="37"/>
    </row>
    <row r="950" spans="5:6" ht="15.75" customHeight="1" x14ac:dyDescent="0.25">
      <c r="E950" s="36"/>
      <c r="F950" s="37"/>
    </row>
    <row r="951" spans="5:6" ht="15.75" customHeight="1" x14ac:dyDescent="0.25">
      <c r="E951" s="36"/>
      <c r="F951" s="37"/>
    </row>
    <row r="952" spans="5:6" ht="15.75" customHeight="1" x14ac:dyDescent="0.25">
      <c r="E952" s="36"/>
      <c r="F952" s="37"/>
    </row>
    <row r="953" spans="5:6" ht="15.75" customHeight="1" x14ac:dyDescent="0.25">
      <c r="E953" s="36"/>
      <c r="F953" s="37"/>
    </row>
    <row r="954" spans="5:6" ht="15.75" customHeight="1" x14ac:dyDescent="0.25">
      <c r="E954" s="36"/>
      <c r="F954" s="37"/>
    </row>
    <row r="955" spans="5:6" ht="15.75" customHeight="1" x14ac:dyDescent="0.25">
      <c r="E955" s="36"/>
      <c r="F955" s="37"/>
    </row>
    <row r="956" spans="5:6" ht="15.75" customHeight="1" x14ac:dyDescent="0.25">
      <c r="E956" s="36"/>
      <c r="F956" s="37"/>
    </row>
    <row r="957" spans="5:6" ht="15.75" customHeight="1" x14ac:dyDescent="0.25">
      <c r="E957" s="36"/>
      <c r="F957" s="37"/>
    </row>
    <row r="958" spans="5:6" ht="15.75" customHeight="1" x14ac:dyDescent="0.25">
      <c r="E958" s="36"/>
      <c r="F958" s="37"/>
    </row>
    <row r="959" spans="5:6" ht="15.75" customHeight="1" x14ac:dyDescent="0.25">
      <c r="E959" s="36"/>
      <c r="F959" s="37"/>
    </row>
    <row r="960" spans="5:6" ht="15.75" customHeight="1" x14ac:dyDescent="0.25">
      <c r="E960" s="36"/>
      <c r="F960" s="37"/>
    </row>
    <row r="961" spans="5:6" ht="15.75" customHeight="1" x14ac:dyDescent="0.25">
      <c r="E961" s="36"/>
      <c r="F961" s="37"/>
    </row>
    <row r="962" spans="5:6" ht="15.75" customHeight="1" x14ac:dyDescent="0.25">
      <c r="E962" s="36"/>
      <c r="F962" s="37"/>
    </row>
    <row r="963" spans="5:6" ht="15.75" customHeight="1" x14ac:dyDescent="0.25">
      <c r="E963" s="36"/>
      <c r="F963" s="37"/>
    </row>
    <row r="964" spans="5:6" ht="15.75" customHeight="1" x14ac:dyDescent="0.25">
      <c r="E964" s="36"/>
      <c r="F964" s="37"/>
    </row>
    <row r="965" spans="5:6" ht="15.75" customHeight="1" x14ac:dyDescent="0.25">
      <c r="E965" s="36"/>
      <c r="F965" s="37"/>
    </row>
    <row r="966" spans="5:6" ht="15.75" customHeight="1" x14ac:dyDescent="0.25">
      <c r="E966" s="36"/>
      <c r="F966" s="37"/>
    </row>
    <row r="967" spans="5:6" ht="15.75" customHeight="1" x14ac:dyDescent="0.25">
      <c r="E967" s="36"/>
      <c r="F967" s="37"/>
    </row>
    <row r="968" spans="5:6" ht="15.75" customHeight="1" x14ac:dyDescent="0.25">
      <c r="E968" s="36"/>
      <c r="F968" s="37"/>
    </row>
    <row r="969" spans="5:6" ht="15.75" customHeight="1" x14ac:dyDescent="0.25">
      <c r="E969" s="36"/>
      <c r="F969" s="37"/>
    </row>
    <row r="970" spans="5:6" ht="15.75" customHeight="1" x14ac:dyDescent="0.25">
      <c r="E970" s="36"/>
      <c r="F970" s="37"/>
    </row>
    <row r="971" spans="5:6" ht="15.75" customHeight="1" x14ac:dyDescent="0.25">
      <c r="E971" s="36"/>
      <c r="F971" s="37"/>
    </row>
    <row r="972" spans="5:6" ht="15.75" customHeight="1" x14ac:dyDescent="0.25">
      <c r="E972" s="36"/>
      <c r="F972" s="37"/>
    </row>
    <row r="973" spans="5:6" ht="15.75" customHeight="1" x14ac:dyDescent="0.25">
      <c r="E973" s="36"/>
      <c r="F973" s="37"/>
    </row>
    <row r="974" spans="5:6" ht="15.75" customHeight="1" x14ac:dyDescent="0.25">
      <c r="E974" s="36"/>
      <c r="F974" s="37"/>
    </row>
    <row r="975" spans="5:6" ht="15.75" customHeight="1" x14ac:dyDescent="0.25">
      <c r="E975" s="36"/>
      <c r="F975" s="37"/>
    </row>
    <row r="976" spans="5:6" ht="15.75" customHeight="1" x14ac:dyDescent="0.25">
      <c r="E976" s="36"/>
      <c r="F976" s="37"/>
    </row>
    <row r="977" spans="5:6" ht="15.75" customHeight="1" x14ac:dyDescent="0.25">
      <c r="E977" s="36"/>
      <c r="F977" s="37"/>
    </row>
    <row r="978" spans="5:6" ht="15.75" customHeight="1" x14ac:dyDescent="0.25">
      <c r="E978" s="36"/>
      <c r="F978" s="37"/>
    </row>
    <row r="979" spans="5:6" ht="15.75" customHeight="1" x14ac:dyDescent="0.25">
      <c r="E979" s="36"/>
      <c r="F979" s="37"/>
    </row>
    <row r="980" spans="5:6" ht="15.75" customHeight="1" x14ac:dyDescent="0.25">
      <c r="E980" s="36"/>
      <c r="F980" s="37"/>
    </row>
    <row r="981" spans="5:6" ht="15.75" customHeight="1" x14ac:dyDescent="0.25">
      <c r="E981" s="36"/>
      <c r="F981" s="37"/>
    </row>
    <row r="982" spans="5:6" ht="15.75" customHeight="1" x14ac:dyDescent="0.25">
      <c r="E982" s="36"/>
      <c r="F982" s="37"/>
    </row>
    <row r="983" spans="5:6" ht="15.75" customHeight="1" x14ac:dyDescent="0.25">
      <c r="E983" s="36"/>
      <c r="F983" s="37"/>
    </row>
    <row r="984" spans="5:6" ht="15.75" customHeight="1" x14ac:dyDescent="0.25">
      <c r="E984" s="36"/>
      <c r="F984" s="37"/>
    </row>
    <row r="985" spans="5:6" ht="15.75" customHeight="1" x14ac:dyDescent="0.25">
      <c r="E985" s="36"/>
      <c r="F985" s="37"/>
    </row>
    <row r="986" spans="5:6" ht="15.75" customHeight="1" x14ac:dyDescent="0.25">
      <c r="E986" s="36"/>
      <c r="F986" s="37"/>
    </row>
    <row r="987" spans="5:6" ht="15.75" customHeight="1" x14ac:dyDescent="0.25">
      <c r="E987" s="36"/>
      <c r="F987" s="37"/>
    </row>
    <row r="988" spans="5:6" ht="15.75" customHeight="1" x14ac:dyDescent="0.25">
      <c r="E988" s="36"/>
      <c r="F988" s="37"/>
    </row>
    <row r="989" spans="5:6" ht="15.75" customHeight="1" x14ac:dyDescent="0.25">
      <c r="E989" s="36"/>
      <c r="F989" s="37"/>
    </row>
    <row r="990" spans="5:6" ht="15.75" customHeight="1" x14ac:dyDescent="0.25">
      <c r="E990" s="36"/>
      <c r="F990" s="37"/>
    </row>
    <row r="991" spans="5:6" ht="15.75" customHeight="1" x14ac:dyDescent="0.25">
      <c r="E991" s="36"/>
      <c r="F991" s="37"/>
    </row>
    <row r="992" spans="5:6" ht="15.75" customHeight="1" x14ac:dyDescent="0.25">
      <c r="E992" s="36"/>
      <c r="F992" s="37"/>
    </row>
    <row r="993" spans="5:6" ht="15.75" customHeight="1" x14ac:dyDescent="0.25">
      <c r="E993" s="36"/>
      <c r="F993" s="37"/>
    </row>
    <row r="994" spans="5:6" ht="15.75" customHeight="1" x14ac:dyDescent="0.25">
      <c r="E994" s="36"/>
      <c r="F994" s="37"/>
    </row>
    <row r="995" spans="5:6" ht="15.75" customHeight="1" x14ac:dyDescent="0.25">
      <c r="E995" s="36"/>
      <c r="F995" s="37"/>
    </row>
    <row r="996" spans="5:6" ht="15.75" customHeight="1" x14ac:dyDescent="0.25">
      <c r="E996" s="36"/>
      <c r="F996" s="37"/>
    </row>
    <row r="997" spans="5:6" ht="15.75" customHeight="1" x14ac:dyDescent="0.25">
      <c r="E997" s="36"/>
      <c r="F997" s="37"/>
    </row>
    <row r="998" spans="5:6" ht="15.75" customHeight="1" x14ac:dyDescent="0.25">
      <c r="E998" s="36"/>
      <c r="F998" s="37"/>
    </row>
    <row r="999" spans="5:6" ht="15.75" customHeight="1" x14ac:dyDescent="0.25">
      <c r="E999" s="36"/>
      <c r="F999" s="37"/>
    </row>
    <row r="1000" spans="5:6" ht="15.75" customHeight="1" x14ac:dyDescent="0.25">
      <c r="E1000" s="36"/>
      <c r="F1000" s="37"/>
    </row>
  </sheetData>
  <mergeCells count="16">
    <mergeCell ref="A8:A9"/>
    <mergeCell ref="C10:D10"/>
    <mergeCell ref="E15:E16"/>
    <mergeCell ref="A45:E45"/>
    <mergeCell ref="A11:G12"/>
    <mergeCell ref="B13:G13"/>
    <mergeCell ref="A15:A16"/>
    <mergeCell ref="B15:B16"/>
    <mergeCell ref="C15:C16"/>
    <mergeCell ref="D15:D16"/>
    <mergeCell ref="F15:F16"/>
    <mergeCell ref="A2:G2"/>
    <mergeCell ref="A4:B4"/>
    <mergeCell ref="C4:G4"/>
    <mergeCell ref="B6:G6"/>
    <mergeCell ref="B7:G7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4"/>
  <sheetViews>
    <sheetView topLeftCell="A4" workbookViewId="0">
      <selection activeCell="G16" sqref="G16:I43"/>
    </sheetView>
  </sheetViews>
  <sheetFormatPr defaultColWidth="12.6640625" defaultRowHeight="15" customHeight="1" x14ac:dyDescent="0.25"/>
  <cols>
    <col min="1" max="1" width="22.21875" customWidth="1"/>
    <col min="2" max="2" width="30.77734375" customWidth="1"/>
    <col min="3" max="3" width="9.21875" customWidth="1"/>
    <col min="4" max="4" width="9.44140625" customWidth="1"/>
    <col min="5" max="5" width="17.21875" customWidth="1"/>
    <col min="6" max="7" width="20.6640625" customWidth="1"/>
    <col min="8" max="8" width="25.33203125" customWidth="1"/>
    <col min="9" max="9" width="25.21875" customWidth="1"/>
  </cols>
  <sheetData>
    <row r="1" spans="1:26" ht="15.75" customHeight="1" x14ac:dyDescent="0.25">
      <c r="D1" s="36"/>
      <c r="E1" s="37"/>
    </row>
    <row r="2" spans="1:26" ht="15.75" customHeight="1" x14ac:dyDescent="0.25">
      <c r="A2" s="150"/>
      <c r="B2" s="151"/>
      <c r="C2" s="151"/>
      <c r="D2" s="151"/>
      <c r="E2" s="151"/>
      <c r="F2" s="151"/>
      <c r="G2" s="151"/>
    </row>
    <row r="3" spans="1:26" ht="15.75" customHeight="1" x14ac:dyDescent="0.25">
      <c r="A3" s="38"/>
      <c r="B3" s="38"/>
      <c r="C3" s="39"/>
      <c r="D3" s="38"/>
      <c r="E3" s="36"/>
      <c r="F3" s="37"/>
      <c r="G3" s="38"/>
      <c r="H3" s="38"/>
      <c r="I3" s="38"/>
      <c r="J3" s="38"/>
    </row>
    <row r="4" spans="1:26" ht="15.75" customHeight="1" x14ac:dyDescent="0.25">
      <c r="A4" s="152" t="s">
        <v>49</v>
      </c>
      <c r="B4" s="153"/>
      <c r="C4" s="154">
        <f>'SIKLUS MENU'!C3</f>
        <v>46224</v>
      </c>
      <c r="D4" s="153"/>
      <c r="E4" s="153"/>
      <c r="F4" s="153"/>
      <c r="G4" s="153"/>
      <c r="H4" s="38"/>
      <c r="I4" s="38"/>
      <c r="J4" s="38"/>
    </row>
    <row r="5" spans="1:26" ht="15.75" customHeight="1" x14ac:dyDescent="0.3">
      <c r="A5" s="40" t="s">
        <v>50</v>
      </c>
      <c r="B5" s="41">
        <f>C4-1</f>
        <v>46223</v>
      </c>
      <c r="C5" s="42"/>
      <c r="D5" s="43"/>
      <c r="E5" s="44"/>
      <c r="F5" s="45"/>
      <c r="G5" s="46"/>
      <c r="H5" s="38"/>
      <c r="I5" s="38"/>
      <c r="J5" s="38"/>
    </row>
    <row r="6" spans="1:26" ht="15.75" customHeight="1" x14ac:dyDescent="0.3">
      <c r="A6" s="40" t="s">
        <v>51</v>
      </c>
      <c r="B6" s="155" t="s">
        <v>52</v>
      </c>
      <c r="C6" s="153"/>
      <c r="D6" s="153"/>
      <c r="E6" s="153"/>
      <c r="F6" s="153"/>
      <c r="G6" s="156"/>
      <c r="H6" s="38"/>
      <c r="I6" s="38"/>
      <c r="J6" s="38"/>
    </row>
    <row r="7" spans="1:26" ht="15.75" customHeight="1" x14ac:dyDescent="0.3">
      <c r="A7" s="40" t="s">
        <v>53</v>
      </c>
      <c r="B7" s="157">
        <f>C4</f>
        <v>46224</v>
      </c>
      <c r="C7" s="153"/>
      <c r="D7" s="153"/>
      <c r="E7" s="153"/>
      <c r="F7" s="153"/>
      <c r="G7" s="156"/>
      <c r="H7" s="38"/>
      <c r="I7" s="38"/>
      <c r="J7" s="38"/>
    </row>
    <row r="8" spans="1:26" ht="15.75" customHeight="1" x14ac:dyDescent="0.3">
      <c r="A8" s="158" t="s">
        <v>54</v>
      </c>
      <c r="B8" s="47" t="s">
        <v>55</v>
      </c>
      <c r="C8" s="84">
        <v>643</v>
      </c>
      <c r="D8" s="49">
        <v>8000</v>
      </c>
      <c r="E8" s="50">
        <f t="shared" ref="E8:E9" si="0">D8*C8</f>
        <v>5144000</v>
      </c>
      <c r="F8" s="51"/>
      <c r="G8" s="52"/>
      <c r="H8" s="53"/>
      <c r="I8" s="53"/>
      <c r="J8" s="53"/>
    </row>
    <row r="9" spans="1:26" ht="15.75" customHeight="1" x14ac:dyDescent="0.3">
      <c r="A9" s="159"/>
      <c r="B9" s="54" t="s">
        <v>56</v>
      </c>
      <c r="C9" s="85">
        <v>506</v>
      </c>
      <c r="D9" s="55">
        <v>10000</v>
      </c>
      <c r="E9" s="50">
        <f t="shared" si="0"/>
        <v>5060000</v>
      </c>
      <c r="F9" s="56"/>
      <c r="G9" s="57"/>
      <c r="H9" s="53"/>
      <c r="I9" s="53"/>
      <c r="J9" s="53"/>
    </row>
    <row r="10" spans="1:26" ht="15.75" customHeight="1" x14ac:dyDescent="0.35">
      <c r="A10" s="58"/>
      <c r="B10" s="59" t="s">
        <v>57</v>
      </c>
      <c r="C10" s="160">
        <f>SUM(C8:C9)</f>
        <v>1149</v>
      </c>
      <c r="D10" s="153"/>
      <c r="E10" s="60">
        <f>SUM(E8:E9)</f>
        <v>10204000</v>
      </c>
      <c r="F10" s="56"/>
      <c r="G10" s="57"/>
      <c r="H10" s="53"/>
      <c r="I10" s="53"/>
      <c r="J10" s="53"/>
    </row>
    <row r="11" spans="1:26" ht="15.75" customHeight="1" x14ac:dyDescent="0.25">
      <c r="A11" s="166" t="s">
        <v>58</v>
      </c>
      <c r="B11" s="167"/>
      <c r="C11" s="167"/>
      <c r="D11" s="167"/>
      <c r="E11" s="167"/>
      <c r="F11" s="167"/>
      <c r="G11" s="168"/>
      <c r="H11" s="38"/>
      <c r="I11" s="38"/>
      <c r="J11" s="38"/>
    </row>
    <row r="12" spans="1:26" ht="15.75" customHeight="1" x14ac:dyDescent="0.25">
      <c r="A12" s="169"/>
      <c r="B12" s="170"/>
      <c r="C12" s="170"/>
      <c r="D12" s="170"/>
      <c r="E12" s="170"/>
      <c r="F12" s="170"/>
      <c r="G12" s="171"/>
      <c r="H12" s="38"/>
      <c r="I12" s="38"/>
      <c r="J12" s="38"/>
    </row>
    <row r="13" spans="1:26" ht="15.75" customHeight="1" x14ac:dyDescent="0.3">
      <c r="A13" s="61" t="s">
        <v>59</v>
      </c>
      <c r="B13" s="182"/>
      <c r="C13" s="151"/>
      <c r="D13" s="151"/>
      <c r="E13" s="151"/>
      <c r="F13" s="151"/>
      <c r="G13" s="173"/>
      <c r="H13" s="38"/>
      <c r="I13" s="38"/>
      <c r="J13" s="38"/>
    </row>
    <row r="14" spans="1:26" ht="15.75" customHeight="1" x14ac:dyDescent="0.25">
      <c r="A14" s="38"/>
      <c r="B14" s="38"/>
      <c r="C14" s="39"/>
      <c r="D14" s="38"/>
      <c r="E14" s="36"/>
      <c r="F14" s="37"/>
      <c r="G14" s="86"/>
      <c r="H14" s="38"/>
      <c r="I14" s="38"/>
      <c r="J14" s="38"/>
    </row>
    <row r="15" spans="1:26" ht="15.75" customHeight="1" x14ac:dyDescent="0.25">
      <c r="A15" s="183" t="s">
        <v>60</v>
      </c>
      <c r="B15" s="183" t="s">
        <v>61</v>
      </c>
      <c r="C15" s="184" t="s">
        <v>62</v>
      </c>
      <c r="D15" s="183" t="s">
        <v>63</v>
      </c>
      <c r="E15" s="180" t="s">
        <v>64</v>
      </c>
      <c r="F15" s="183" t="s">
        <v>65</v>
      </c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spans="1:26" ht="15.75" customHeight="1" x14ac:dyDescent="0.25">
      <c r="A16" s="162"/>
      <c r="B16" s="162"/>
      <c r="C16" s="162"/>
      <c r="D16" s="162"/>
      <c r="E16" s="162"/>
      <c r="F16" s="1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spans="1:9" ht="15.75" customHeight="1" x14ac:dyDescent="0.3">
      <c r="A17" s="65">
        <v>1</v>
      </c>
      <c r="B17" s="87" t="s">
        <v>66</v>
      </c>
      <c r="C17" s="65">
        <v>72</v>
      </c>
      <c r="D17" s="65" t="s">
        <v>67</v>
      </c>
      <c r="E17" s="66">
        <v>15500</v>
      </c>
      <c r="F17" s="67">
        <f t="shared" ref="F17:F42" si="1">C17*E17</f>
        <v>1116000</v>
      </c>
      <c r="G17" s="88"/>
      <c r="H17" s="89"/>
      <c r="I17" s="69"/>
    </row>
    <row r="18" spans="1:9" ht="15.75" customHeight="1" x14ac:dyDescent="0.3">
      <c r="A18" s="65">
        <v>2</v>
      </c>
      <c r="B18" s="90" t="s">
        <v>94</v>
      </c>
      <c r="C18" s="65">
        <v>56</v>
      </c>
      <c r="D18" s="65" t="s">
        <v>67</v>
      </c>
      <c r="E18" s="66">
        <v>52000</v>
      </c>
      <c r="F18" s="67">
        <f t="shared" si="1"/>
        <v>2912000</v>
      </c>
      <c r="G18" s="88"/>
      <c r="H18" s="89"/>
      <c r="I18" s="69"/>
    </row>
    <row r="19" spans="1:9" ht="15.75" customHeight="1" x14ac:dyDescent="0.3">
      <c r="A19" s="65">
        <v>3</v>
      </c>
      <c r="B19" s="73" t="s">
        <v>95</v>
      </c>
      <c r="C19" s="65">
        <v>1</v>
      </c>
      <c r="D19" s="65" t="s">
        <v>96</v>
      </c>
      <c r="E19" s="91">
        <v>51000</v>
      </c>
      <c r="F19" s="67">
        <f t="shared" si="1"/>
        <v>51000</v>
      </c>
      <c r="G19" s="88"/>
      <c r="H19" s="89"/>
      <c r="I19" s="69"/>
    </row>
    <row r="20" spans="1:9" ht="15.75" customHeight="1" x14ac:dyDescent="0.3">
      <c r="A20" s="65">
        <v>4</v>
      </c>
      <c r="B20" s="73" t="s">
        <v>97</v>
      </c>
      <c r="C20" s="92">
        <v>1</v>
      </c>
      <c r="D20" s="65" t="s">
        <v>96</v>
      </c>
      <c r="E20" s="93">
        <v>58500</v>
      </c>
      <c r="F20" s="67">
        <f t="shared" si="1"/>
        <v>58500</v>
      </c>
      <c r="G20" s="88"/>
      <c r="H20" s="89"/>
      <c r="I20" s="69"/>
    </row>
    <row r="21" spans="1:9" ht="15.75" customHeight="1" x14ac:dyDescent="0.3">
      <c r="A21" s="65">
        <v>5</v>
      </c>
      <c r="B21" s="73" t="s">
        <v>98</v>
      </c>
      <c r="C21" s="94">
        <v>2</v>
      </c>
      <c r="D21" s="65" t="s">
        <v>96</v>
      </c>
      <c r="E21" s="93">
        <v>57000</v>
      </c>
      <c r="F21" s="67">
        <f t="shared" si="1"/>
        <v>114000</v>
      </c>
      <c r="G21" s="88"/>
      <c r="H21" s="89"/>
      <c r="I21" s="69"/>
    </row>
    <row r="22" spans="1:9" ht="15.75" customHeight="1" x14ac:dyDescent="0.3">
      <c r="A22" s="65">
        <v>6</v>
      </c>
      <c r="B22" s="73" t="s">
        <v>99</v>
      </c>
      <c r="C22" s="65">
        <v>2</v>
      </c>
      <c r="D22" s="65" t="s">
        <v>100</v>
      </c>
      <c r="E22" s="66">
        <v>7000</v>
      </c>
      <c r="F22" s="67">
        <f t="shared" si="1"/>
        <v>14000</v>
      </c>
      <c r="G22" s="88"/>
      <c r="H22" s="89"/>
      <c r="I22" s="69"/>
    </row>
    <row r="23" spans="1:9" ht="15.75" customHeight="1" x14ac:dyDescent="0.3">
      <c r="A23" s="65">
        <v>7</v>
      </c>
      <c r="B23" s="73" t="s">
        <v>84</v>
      </c>
      <c r="C23" s="92">
        <v>2</v>
      </c>
      <c r="D23" s="92" t="s">
        <v>67</v>
      </c>
      <c r="E23" s="91">
        <v>20000</v>
      </c>
      <c r="F23" s="67">
        <f t="shared" si="1"/>
        <v>40000</v>
      </c>
      <c r="G23" s="88"/>
      <c r="H23" s="89"/>
      <c r="I23" s="69"/>
    </row>
    <row r="24" spans="1:9" ht="15.75" customHeight="1" x14ac:dyDescent="0.3">
      <c r="A24" s="65">
        <v>8</v>
      </c>
      <c r="B24" s="73" t="s">
        <v>73</v>
      </c>
      <c r="C24" s="65">
        <v>1.5</v>
      </c>
      <c r="D24" s="65" t="s">
        <v>67</v>
      </c>
      <c r="E24" s="66">
        <v>46000</v>
      </c>
      <c r="F24" s="67">
        <f t="shared" si="1"/>
        <v>69000</v>
      </c>
      <c r="G24" s="88"/>
      <c r="H24" s="89"/>
      <c r="I24" s="69"/>
    </row>
    <row r="25" spans="1:9" ht="15.75" customHeight="1" x14ac:dyDescent="0.3">
      <c r="A25" s="65">
        <v>9</v>
      </c>
      <c r="B25" s="73" t="s">
        <v>72</v>
      </c>
      <c r="C25" s="65">
        <v>2</v>
      </c>
      <c r="D25" s="65" t="s">
        <v>67</v>
      </c>
      <c r="E25" s="91">
        <v>44000</v>
      </c>
      <c r="F25" s="67">
        <f t="shared" si="1"/>
        <v>88000</v>
      </c>
      <c r="G25" s="88"/>
      <c r="H25" s="89"/>
      <c r="I25" s="69"/>
    </row>
    <row r="26" spans="1:9" ht="15.75" customHeight="1" x14ac:dyDescent="0.3">
      <c r="A26" s="65">
        <v>10</v>
      </c>
      <c r="B26" s="73" t="s">
        <v>71</v>
      </c>
      <c r="C26" s="92">
        <v>2</v>
      </c>
      <c r="D26" s="65" t="s">
        <v>67</v>
      </c>
      <c r="E26" s="66">
        <v>51000</v>
      </c>
      <c r="F26" s="67">
        <f t="shared" si="1"/>
        <v>102000</v>
      </c>
      <c r="G26" s="88"/>
      <c r="H26" s="89"/>
      <c r="I26" s="69"/>
    </row>
    <row r="27" spans="1:9" ht="15.75" customHeight="1" x14ac:dyDescent="0.3">
      <c r="A27" s="65">
        <v>11</v>
      </c>
      <c r="B27" s="73" t="s">
        <v>101</v>
      </c>
      <c r="C27" s="95">
        <v>0.25</v>
      </c>
      <c r="D27" s="65" t="s">
        <v>67</v>
      </c>
      <c r="E27" s="96">
        <v>171000</v>
      </c>
      <c r="F27" s="67">
        <f t="shared" si="1"/>
        <v>42750</v>
      </c>
      <c r="G27" s="88"/>
      <c r="H27" s="89"/>
      <c r="I27" s="69"/>
    </row>
    <row r="28" spans="1:9" ht="15.75" customHeight="1" x14ac:dyDescent="0.3">
      <c r="A28" s="65">
        <v>12</v>
      </c>
      <c r="B28" s="73" t="s">
        <v>102</v>
      </c>
      <c r="C28" s="94">
        <v>15</v>
      </c>
      <c r="D28" s="65" t="s">
        <v>67</v>
      </c>
      <c r="E28" s="97">
        <v>16000</v>
      </c>
      <c r="F28" s="67">
        <f t="shared" si="1"/>
        <v>240000</v>
      </c>
      <c r="G28" s="88"/>
      <c r="H28" s="89"/>
      <c r="I28" s="69"/>
    </row>
    <row r="29" spans="1:9" ht="15.75" customHeight="1" x14ac:dyDescent="0.3">
      <c r="A29" s="65">
        <v>13</v>
      </c>
      <c r="B29" s="73" t="s">
        <v>103</v>
      </c>
      <c r="C29" s="65">
        <v>16</v>
      </c>
      <c r="D29" s="65" t="s">
        <v>67</v>
      </c>
      <c r="E29" s="98">
        <v>21000</v>
      </c>
      <c r="F29" s="67">
        <f t="shared" si="1"/>
        <v>336000</v>
      </c>
      <c r="G29" s="88"/>
      <c r="H29" s="89"/>
      <c r="I29" s="69"/>
    </row>
    <row r="30" spans="1:9" ht="15.75" customHeight="1" x14ac:dyDescent="0.3">
      <c r="A30" s="65">
        <v>14</v>
      </c>
      <c r="B30" s="6" t="s">
        <v>104</v>
      </c>
      <c r="C30" s="65">
        <v>10</v>
      </c>
      <c r="D30" s="65" t="s">
        <v>67</v>
      </c>
      <c r="E30" s="98">
        <v>26000</v>
      </c>
      <c r="F30" s="67">
        <f t="shared" si="1"/>
        <v>260000</v>
      </c>
      <c r="G30" s="88"/>
      <c r="H30" s="89"/>
      <c r="I30" s="69"/>
    </row>
    <row r="31" spans="1:9" ht="15.75" customHeight="1" x14ac:dyDescent="0.3">
      <c r="A31" s="65">
        <v>15</v>
      </c>
      <c r="B31" s="6" t="s">
        <v>70</v>
      </c>
      <c r="C31" s="65">
        <v>2</v>
      </c>
      <c r="D31" s="65" t="s">
        <v>67</v>
      </c>
      <c r="E31" s="98">
        <v>14000</v>
      </c>
      <c r="F31" s="67">
        <f t="shared" si="1"/>
        <v>28000</v>
      </c>
      <c r="G31" s="88"/>
      <c r="H31" s="89"/>
      <c r="I31" s="69"/>
    </row>
    <row r="32" spans="1:9" ht="15.75" customHeight="1" x14ac:dyDescent="0.3">
      <c r="A32" s="65">
        <v>16</v>
      </c>
      <c r="B32" s="6" t="s">
        <v>105</v>
      </c>
      <c r="C32" s="65">
        <v>1155</v>
      </c>
      <c r="D32" s="65" t="s">
        <v>69</v>
      </c>
      <c r="E32" s="98">
        <v>900</v>
      </c>
      <c r="F32" s="67">
        <f t="shared" si="1"/>
        <v>1039500</v>
      </c>
      <c r="G32" s="88"/>
      <c r="H32" s="89"/>
      <c r="I32" s="69"/>
    </row>
    <row r="33" spans="1:25" ht="15.75" customHeight="1" x14ac:dyDescent="0.3">
      <c r="A33" s="65">
        <v>17</v>
      </c>
      <c r="B33" s="99" t="s">
        <v>106</v>
      </c>
      <c r="C33" s="100">
        <v>2</v>
      </c>
      <c r="D33" s="77" t="s">
        <v>67</v>
      </c>
      <c r="E33" s="101">
        <v>14000</v>
      </c>
      <c r="F33" s="67">
        <f t="shared" si="1"/>
        <v>28000</v>
      </c>
      <c r="G33" s="88"/>
      <c r="H33" s="89"/>
      <c r="I33" s="69"/>
    </row>
    <row r="34" spans="1:25" ht="15.75" customHeight="1" x14ac:dyDescent="0.3">
      <c r="A34" s="65">
        <v>18</v>
      </c>
      <c r="B34" s="6" t="s">
        <v>92</v>
      </c>
      <c r="C34" s="65">
        <v>1</v>
      </c>
      <c r="D34" s="65" t="s">
        <v>67</v>
      </c>
      <c r="E34" s="98">
        <v>39000</v>
      </c>
      <c r="F34" s="67">
        <f t="shared" si="1"/>
        <v>39000</v>
      </c>
      <c r="G34" s="88"/>
      <c r="H34" s="89"/>
      <c r="I34" s="69"/>
    </row>
    <row r="35" spans="1:25" ht="15.75" customHeight="1" x14ac:dyDescent="0.3">
      <c r="A35" s="65">
        <v>19</v>
      </c>
      <c r="B35" s="6" t="s">
        <v>107</v>
      </c>
      <c r="C35" s="65">
        <v>1</v>
      </c>
      <c r="D35" s="65" t="s">
        <v>67</v>
      </c>
      <c r="E35" s="98">
        <v>20000</v>
      </c>
      <c r="F35" s="67">
        <f t="shared" si="1"/>
        <v>20000</v>
      </c>
      <c r="G35" s="88"/>
      <c r="H35" s="89"/>
      <c r="I35" s="69"/>
    </row>
    <row r="36" spans="1:25" ht="15.75" customHeight="1" x14ac:dyDescent="0.3">
      <c r="A36" s="65">
        <v>20</v>
      </c>
      <c r="B36" s="70" t="s">
        <v>85</v>
      </c>
      <c r="C36" s="65">
        <v>3</v>
      </c>
      <c r="D36" s="65" t="s">
        <v>86</v>
      </c>
      <c r="E36" s="98">
        <v>241000</v>
      </c>
      <c r="F36" s="67">
        <f t="shared" si="1"/>
        <v>723000</v>
      </c>
      <c r="G36" s="88"/>
      <c r="H36" s="89"/>
      <c r="I36" s="69"/>
    </row>
    <row r="37" spans="1:25" ht="15.75" customHeight="1" x14ac:dyDescent="0.3">
      <c r="A37" s="65">
        <v>21</v>
      </c>
      <c r="B37" s="70" t="s">
        <v>108</v>
      </c>
      <c r="C37" s="65">
        <v>20</v>
      </c>
      <c r="D37" s="65" t="s">
        <v>67</v>
      </c>
      <c r="E37" s="98">
        <v>12000</v>
      </c>
      <c r="F37" s="67">
        <f t="shared" si="1"/>
        <v>240000</v>
      </c>
      <c r="G37" s="88"/>
      <c r="H37" s="89"/>
      <c r="I37" s="69"/>
    </row>
    <row r="38" spans="1:25" ht="15.75" customHeight="1" x14ac:dyDescent="0.3">
      <c r="A38" s="65">
        <v>22</v>
      </c>
      <c r="B38" s="6" t="s">
        <v>81</v>
      </c>
      <c r="C38" s="65">
        <v>15</v>
      </c>
      <c r="D38" s="65" t="s">
        <v>67</v>
      </c>
      <c r="E38" s="66">
        <v>17000</v>
      </c>
      <c r="F38" s="67">
        <f t="shared" si="1"/>
        <v>255000</v>
      </c>
      <c r="G38" s="88"/>
      <c r="H38" s="89"/>
      <c r="I38" s="69"/>
    </row>
    <row r="39" spans="1:25" ht="15.75" customHeight="1" x14ac:dyDescent="0.3">
      <c r="A39" s="65">
        <v>23</v>
      </c>
      <c r="B39" s="78" t="s">
        <v>109</v>
      </c>
      <c r="C39" s="65">
        <v>87</v>
      </c>
      <c r="D39" s="65" t="s">
        <v>67</v>
      </c>
      <c r="E39" s="66">
        <v>22000</v>
      </c>
      <c r="F39" s="67">
        <f t="shared" si="1"/>
        <v>1914000</v>
      </c>
      <c r="G39" s="88"/>
      <c r="H39" s="89"/>
      <c r="I39" s="69"/>
    </row>
    <row r="40" spans="1:25" ht="15.75" customHeight="1" x14ac:dyDescent="0.3">
      <c r="A40" s="65">
        <v>24</v>
      </c>
      <c r="B40" s="6" t="s">
        <v>110</v>
      </c>
      <c r="C40" s="65">
        <v>1</v>
      </c>
      <c r="D40" s="77" t="s">
        <v>67</v>
      </c>
      <c r="E40" s="66">
        <v>39000</v>
      </c>
      <c r="F40" s="67">
        <f t="shared" si="1"/>
        <v>39000</v>
      </c>
      <c r="G40" s="88"/>
      <c r="H40" s="89"/>
      <c r="I40" s="69"/>
    </row>
    <row r="41" spans="1:25" ht="15.75" customHeight="1" x14ac:dyDescent="0.3">
      <c r="A41" s="65">
        <v>25</v>
      </c>
      <c r="B41" s="6" t="s">
        <v>111</v>
      </c>
      <c r="C41" s="65">
        <v>2</v>
      </c>
      <c r="D41" s="77" t="s">
        <v>67</v>
      </c>
      <c r="E41" s="66">
        <v>16000</v>
      </c>
      <c r="F41" s="67">
        <f t="shared" si="1"/>
        <v>32000</v>
      </c>
      <c r="G41" s="88"/>
      <c r="H41" s="89"/>
      <c r="I41" s="69"/>
    </row>
    <row r="42" spans="1:25" ht="15.75" customHeight="1" x14ac:dyDescent="0.3">
      <c r="A42" s="65">
        <v>26</v>
      </c>
      <c r="B42" s="6" t="s">
        <v>88</v>
      </c>
      <c r="C42" s="65">
        <v>8</v>
      </c>
      <c r="D42" s="77" t="s">
        <v>67</v>
      </c>
      <c r="E42" s="66">
        <v>15000</v>
      </c>
      <c r="F42" s="67">
        <f t="shared" si="1"/>
        <v>120000</v>
      </c>
      <c r="G42" s="88"/>
      <c r="H42" s="89"/>
      <c r="I42" s="69"/>
    </row>
    <row r="43" spans="1:25" ht="15.75" customHeight="1" x14ac:dyDescent="0.3">
      <c r="A43" s="181" t="s">
        <v>93</v>
      </c>
      <c r="B43" s="153"/>
      <c r="C43" s="153"/>
      <c r="D43" s="153"/>
      <c r="E43" s="156"/>
      <c r="F43" s="102">
        <f>SUM(F17:F42)</f>
        <v>9920750</v>
      </c>
      <c r="G43" s="88"/>
      <c r="H43" s="89"/>
      <c r="I43" s="89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</row>
    <row r="44" spans="1:25" ht="15.75" customHeight="1" x14ac:dyDescent="0.25">
      <c r="A44" s="38"/>
      <c r="B44" s="39"/>
      <c r="C44" s="38"/>
      <c r="D44" s="36"/>
      <c r="E44" s="37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</row>
    <row r="45" spans="1:25" ht="15.75" customHeight="1" x14ac:dyDescent="0.25">
      <c r="A45" s="38"/>
      <c r="B45" s="39"/>
      <c r="C45" s="38"/>
      <c r="D45" s="36"/>
      <c r="E45" s="37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</row>
    <row r="46" spans="1:25" ht="15.75" customHeight="1" x14ac:dyDescent="0.25">
      <c r="A46" s="38"/>
      <c r="B46" s="39"/>
      <c r="C46" s="38"/>
      <c r="D46" s="36"/>
      <c r="E46" s="37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</row>
    <row r="47" spans="1:25" ht="15.75" customHeight="1" x14ac:dyDescent="0.25">
      <c r="A47" s="38"/>
      <c r="B47" s="39"/>
      <c r="C47" s="38"/>
      <c r="D47" s="36"/>
      <c r="E47" s="37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</row>
    <row r="48" spans="1:25" ht="15.75" customHeight="1" x14ac:dyDescent="0.25">
      <c r="A48" s="38"/>
      <c r="B48" s="39"/>
      <c r="C48" s="38"/>
      <c r="D48" s="36"/>
      <c r="E48" s="37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</row>
    <row r="49" spans="1:25" ht="15.75" customHeight="1" x14ac:dyDescent="0.25">
      <c r="A49" s="38"/>
      <c r="B49" s="39"/>
      <c r="C49" s="38"/>
      <c r="D49" s="36"/>
      <c r="E49" s="37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</row>
    <row r="50" spans="1:25" ht="15.75" customHeight="1" x14ac:dyDescent="0.25">
      <c r="A50" s="38"/>
      <c r="B50" s="39"/>
      <c r="C50" s="38"/>
      <c r="D50" s="36"/>
      <c r="E50" s="37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</row>
    <row r="51" spans="1:25" ht="15.75" customHeight="1" x14ac:dyDescent="0.25">
      <c r="A51" s="38"/>
      <c r="B51" s="39"/>
      <c r="C51" s="38"/>
      <c r="D51" s="36"/>
      <c r="E51" s="37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</row>
    <row r="52" spans="1:25" ht="15.75" customHeight="1" x14ac:dyDescent="0.25">
      <c r="A52" s="38"/>
      <c r="B52" s="39"/>
      <c r="C52" s="38"/>
      <c r="D52" s="36"/>
      <c r="E52" s="37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</row>
    <row r="53" spans="1:25" ht="15.75" customHeight="1" x14ac:dyDescent="0.25">
      <c r="A53" s="38"/>
      <c r="B53" s="39"/>
      <c r="C53" s="38"/>
      <c r="D53" s="36"/>
      <c r="E53" s="37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</row>
    <row r="54" spans="1:25" ht="15.75" customHeight="1" x14ac:dyDescent="0.25">
      <c r="A54" s="38"/>
      <c r="B54" s="39"/>
      <c r="C54" s="38"/>
      <c r="D54" s="36"/>
      <c r="E54" s="37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</row>
    <row r="55" spans="1:25" ht="15.75" customHeight="1" x14ac:dyDescent="0.25">
      <c r="A55" s="38"/>
      <c r="B55" s="39"/>
      <c r="C55" s="38"/>
      <c r="D55" s="36"/>
      <c r="E55" s="37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</row>
    <row r="56" spans="1:25" ht="15.75" customHeight="1" x14ac:dyDescent="0.25">
      <c r="A56" s="38"/>
      <c r="B56" s="39"/>
      <c r="C56" s="38"/>
      <c r="D56" s="36"/>
      <c r="E56" s="37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</row>
    <row r="57" spans="1:25" ht="15.75" customHeight="1" x14ac:dyDescent="0.25">
      <c r="A57" s="38"/>
      <c r="B57" s="39"/>
      <c r="C57" s="38"/>
      <c r="D57" s="36"/>
      <c r="E57" s="37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</row>
    <row r="58" spans="1:25" ht="15.75" customHeight="1" x14ac:dyDescent="0.25">
      <c r="A58" s="38"/>
      <c r="B58" s="39"/>
      <c r="C58" s="38"/>
      <c r="D58" s="36"/>
      <c r="E58" s="37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</row>
    <row r="59" spans="1:25" ht="15.75" customHeight="1" x14ac:dyDescent="0.25">
      <c r="A59" s="38"/>
      <c r="B59" s="39"/>
      <c r="C59" s="38"/>
      <c r="D59" s="36"/>
      <c r="E59" s="37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</row>
    <row r="60" spans="1:25" ht="15.75" customHeight="1" x14ac:dyDescent="0.25">
      <c r="A60" s="38"/>
      <c r="B60" s="39"/>
      <c r="C60" s="38"/>
      <c r="D60" s="36"/>
      <c r="E60" s="37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</row>
    <row r="61" spans="1:25" ht="15.75" customHeight="1" x14ac:dyDescent="0.25">
      <c r="A61" s="38"/>
      <c r="B61" s="39"/>
      <c r="C61" s="38"/>
      <c r="D61" s="36"/>
      <c r="E61" s="37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</row>
    <row r="62" spans="1:25" ht="15.75" customHeight="1" x14ac:dyDescent="0.25">
      <c r="A62" s="38"/>
      <c r="B62" s="39"/>
      <c r="C62" s="38"/>
      <c r="D62" s="36"/>
      <c r="E62" s="37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</row>
    <row r="63" spans="1:25" ht="15.75" customHeight="1" x14ac:dyDescent="0.25">
      <c r="A63" s="38"/>
      <c r="B63" s="39"/>
      <c r="C63" s="38"/>
      <c r="D63" s="36"/>
      <c r="E63" s="37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</row>
    <row r="64" spans="1:25" ht="15.75" customHeight="1" x14ac:dyDescent="0.25">
      <c r="A64" s="38"/>
      <c r="B64" s="39"/>
      <c r="C64" s="38"/>
      <c r="D64" s="36"/>
      <c r="E64" s="37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</row>
    <row r="65" spans="1:25" ht="15.75" customHeight="1" x14ac:dyDescent="0.25">
      <c r="A65" s="38"/>
      <c r="B65" s="39"/>
      <c r="C65" s="38"/>
      <c r="D65" s="36"/>
      <c r="E65" s="37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</row>
    <row r="66" spans="1:25" ht="15.75" customHeight="1" x14ac:dyDescent="0.25">
      <c r="A66" s="38"/>
      <c r="B66" s="39"/>
      <c r="C66" s="38"/>
      <c r="D66" s="36"/>
      <c r="E66" s="37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</row>
    <row r="67" spans="1:25" ht="15.75" customHeight="1" x14ac:dyDescent="0.25">
      <c r="A67" s="38"/>
      <c r="B67" s="39"/>
      <c r="C67" s="38"/>
      <c r="D67" s="36"/>
      <c r="E67" s="37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</row>
    <row r="68" spans="1:25" ht="15.75" customHeight="1" x14ac:dyDescent="0.25">
      <c r="A68" s="38"/>
      <c r="B68" s="39"/>
      <c r="C68" s="38"/>
      <c r="D68" s="36"/>
      <c r="E68" s="37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</row>
    <row r="69" spans="1:25" ht="15.75" customHeight="1" x14ac:dyDescent="0.25">
      <c r="A69" s="38"/>
      <c r="B69" s="39"/>
      <c r="C69" s="38"/>
      <c r="D69" s="36"/>
      <c r="E69" s="37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</row>
    <row r="70" spans="1:25" ht="15.75" customHeight="1" x14ac:dyDescent="0.25">
      <c r="A70" s="38"/>
      <c r="B70" s="39"/>
      <c r="C70" s="38"/>
      <c r="D70" s="36"/>
      <c r="E70" s="37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</row>
    <row r="71" spans="1:25" ht="15.75" customHeight="1" x14ac:dyDescent="0.25">
      <c r="A71" s="38"/>
      <c r="B71" s="39"/>
      <c r="C71" s="38"/>
      <c r="D71" s="36"/>
      <c r="E71" s="37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</row>
    <row r="72" spans="1:25" ht="15.75" customHeight="1" x14ac:dyDescent="0.25">
      <c r="A72" s="38"/>
      <c r="B72" s="39"/>
      <c r="C72" s="38"/>
      <c r="D72" s="36"/>
      <c r="E72" s="37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</row>
    <row r="73" spans="1:25" ht="15.75" customHeight="1" x14ac:dyDescent="0.25">
      <c r="A73" s="38"/>
      <c r="B73" s="39"/>
      <c r="C73" s="38"/>
      <c r="D73" s="36"/>
      <c r="E73" s="37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</row>
    <row r="74" spans="1:25" ht="15.75" customHeight="1" x14ac:dyDescent="0.25">
      <c r="A74" s="38"/>
      <c r="B74" s="39"/>
      <c r="C74" s="38"/>
      <c r="D74" s="36"/>
      <c r="E74" s="37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</row>
    <row r="75" spans="1:25" ht="15.75" customHeight="1" x14ac:dyDescent="0.25">
      <c r="A75" s="38"/>
      <c r="B75" s="39"/>
      <c r="C75" s="38"/>
      <c r="D75" s="36"/>
      <c r="E75" s="37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</row>
    <row r="76" spans="1:25" ht="15.75" customHeight="1" x14ac:dyDescent="0.25">
      <c r="A76" s="38"/>
      <c r="B76" s="39"/>
      <c r="C76" s="38"/>
      <c r="D76" s="36"/>
      <c r="E76" s="37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</row>
    <row r="77" spans="1:25" ht="15.75" customHeight="1" x14ac:dyDescent="0.25">
      <c r="A77" s="38"/>
      <c r="B77" s="39"/>
      <c r="C77" s="38"/>
      <c r="D77" s="36"/>
      <c r="E77" s="37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</row>
    <row r="78" spans="1:25" ht="15.75" customHeight="1" x14ac:dyDescent="0.25">
      <c r="A78" s="38"/>
      <c r="B78" s="39"/>
      <c r="C78" s="38"/>
      <c r="D78" s="36"/>
      <c r="E78" s="37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</row>
    <row r="79" spans="1:25" ht="15.75" customHeight="1" x14ac:dyDescent="0.25">
      <c r="A79" s="38"/>
      <c r="B79" s="39"/>
      <c r="C79" s="38"/>
      <c r="D79" s="36"/>
      <c r="E79" s="37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</row>
    <row r="80" spans="1:25" ht="15.75" customHeight="1" x14ac:dyDescent="0.25">
      <c r="A80" s="38"/>
      <c r="B80" s="39"/>
      <c r="C80" s="38"/>
      <c r="D80" s="36"/>
      <c r="E80" s="37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</row>
    <row r="81" spans="1:25" ht="15.75" customHeight="1" x14ac:dyDescent="0.25">
      <c r="A81" s="38"/>
      <c r="B81" s="39"/>
      <c r="C81" s="38"/>
      <c r="D81" s="36"/>
      <c r="E81" s="37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</row>
    <row r="82" spans="1:25" ht="15.75" customHeight="1" x14ac:dyDescent="0.25">
      <c r="A82" s="38"/>
      <c r="B82" s="39"/>
      <c r="C82" s="38"/>
      <c r="D82" s="36"/>
      <c r="E82" s="37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</row>
    <row r="83" spans="1:25" ht="15.75" customHeight="1" x14ac:dyDescent="0.25">
      <c r="A83" s="38"/>
      <c r="B83" s="39"/>
      <c r="C83" s="38"/>
      <c r="D83" s="36"/>
      <c r="E83" s="37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</row>
    <row r="84" spans="1:25" ht="15.75" customHeight="1" x14ac:dyDescent="0.25">
      <c r="A84" s="38"/>
      <c r="B84" s="39"/>
      <c r="C84" s="38"/>
      <c r="D84" s="36"/>
      <c r="E84" s="37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</row>
    <row r="85" spans="1:25" ht="15.75" customHeight="1" x14ac:dyDescent="0.25">
      <c r="A85" s="38"/>
      <c r="B85" s="39"/>
      <c r="C85" s="38"/>
      <c r="D85" s="36"/>
      <c r="E85" s="37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</row>
    <row r="86" spans="1:25" ht="15.75" customHeight="1" x14ac:dyDescent="0.25">
      <c r="A86" s="38"/>
      <c r="B86" s="39"/>
      <c r="C86" s="38"/>
      <c r="D86" s="36"/>
      <c r="E86" s="37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</row>
    <row r="87" spans="1:25" ht="15.75" customHeight="1" x14ac:dyDescent="0.25">
      <c r="A87" s="38"/>
      <c r="B87" s="39"/>
      <c r="C87" s="38"/>
      <c r="D87" s="36"/>
      <c r="E87" s="37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</row>
    <row r="88" spans="1:25" ht="15.75" customHeight="1" x14ac:dyDescent="0.25">
      <c r="A88" s="38"/>
      <c r="B88" s="39"/>
      <c r="C88" s="38"/>
      <c r="D88" s="36"/>
      <c r="E88" s="37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</row>
    <row r="89" spans="1:25" ht="15.75" customHeight="1" x14ac:dyDescent="0.25">
      <c r="A89" s="38"/>
      <c r="B89" s="39"/>
      <c r="C89" s="38"/>
      <c r="D89" s="36"/>
      <c r="E89" s="37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</row>
    <row r="90" spans="1:25" ht="15.75" customHeight="1" x14ac:dyDescent="0.25">
      <c r="A90" s="38"/>
      <c r="B90" s="39"/>
      <c r="C90" s="38"/>
      <c r="D90" s="36"/>
      <c r="E90" s="37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</row>
    <row r="91" spans="1:25" ht="15.75" customHeight="1" x14ac:dyDescent="0.25">
      <c r="A91" s="38"/>
      <c r="B91" s="39"/>
      <c r="C91" s="38"/>
      <c r="D91" s="36"/>
      <c r="E91" s="37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</row>
    <row r="92" spans="1:25" ht="15.75" customHeight="1" x14ac:dyDescent="0.25">
      <c r="A92" s="38"/>
      <c r="B92" s="39"/>
      <c r="C92" s="38"/>
      <c r="D92" s="36"/>
      <c r="E92" s="37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</row>
    <row r="93" spans="1:25" ht="15.75" customHeight="1" x14ac:dyDescent="0.25">
      <c r="A93" s="38"/>
      <c r="B93" s="39"/>
      <c r="C93" s="38"/>
      <c r="D93" s="36"/>
      <c r="E93" s="37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</row>
    <row r="94" spans="1:25" ht="15.75" customHeight="1" x14ac:dyDescent="0.25">
      <c r="A94" s="38"/>
      <c r="B94" s="39"/>
      <c r="C94" s="38"/>
      <c r="D94" s="36"/>
      <c r="E94" s="37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</row>
    <row r="95" spans="1:25" ht="15.75" customHeight="1" x14ac:dyDescent="0.25">
      <c r="A95" s="38"/>
      <c r="B95" s="39"/>
      <c r="C95" s="38"/>
      <c r="D95" s="36"/>
      <c r="E95" s="37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</row>
    <row r="96" spans="1:25" ht="15.75" customHeight="1" x14ac:dyDescent="0.25">
      <c r="A96" s="38"/>
      <c r="B96" s="39"/>
      <c r="C96" s="38"/>
      <c r="D96" s="36"/>
      <c r="E96" s="37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</row>
    <row r="97" spans="1:25" ht="15.75" customHeight="1" x14ac:dyDescent="0.25">
      <c r="A97" s="38"/>
      <c r="B97" s="39"/>
      <c r="C97" s="38"/>
      <c r="D97" s="36"/>
      <c r="E97" s="37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</row>
    <row r="98" spans="1:25" ht="15.75" customHeight="1" x14ac:dyDescent="0.25">
      <c r="A98" s="38"/>
      <c r="B98" s="39"/>
      <c r="C98" s="38"/>
      <c r="D98" s="36"/>
      <c r="E98" s="37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</row>
    <row r="99" spans="1:25" ht="15.75" customHeight="1" x14ac:dyDescent="0.25">
      <c r="A99" s="38"/>
      <c r="B99" s="39"/>
      <c r="C99" s="38"/>
      <c r="D99" s="36"/>
      <c r="E99" s="37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</row>
    <row r="100" spans="1:25" ht="15.75" customHeight="1" x14ac:dyDescent="0.25">
      <c r="A100" s="38"/>
      <c r="B100" s="39"/>
      <c r="C100" s="38"/>
      <c r="D100" s="36"/>
      <c r="E100" s="37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</row>
    <row r="101" spans="1:25" ht="15.75" customHeight="1" x14ac:dyDescent="0.25">
      <c r="A101" s="38"/>
      <c r="B101" s="39"/>
      <c r="C101" s="38"/>
      <c r="D101" s="36"/>
      <c r="E101" s="37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</row>
    <row r="102" spans="1:25" ht="15.75" customHeight="1" x14ac:dyDescent="0.25">
      <c r="A102" s="38"/>
      <c r="B102" s="39"/>
      <c r="C102" s="38"/>
      <c r="D102" s="36"/>
      <c r="E102" s="37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</row>
    <row r="103" spans="1:25" ht="15.75" customHeight="1" x14ac:dyDescent="0.25">
      <c r="A103" s="38"/>
      <c r="B103" s="39"/>
      <c r="C103" s="38"/>
      <c r="D103" s="36"/>
      <c r="E103" s="37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</row>
    <row r="104" spans="1:25" ht="15.75" customHeight="1" x14ac:dyDescent="0.25">
      <c r="A104" s="38"/>
      <c r="B104" s="39"/>
      <c r="C104" s="38"/>
      <c r="D104" s="36"/>
      <c r="E104" s="37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</row>
    <row r="105" spans="1:25" ht="15.75" customHeight="1" x14ac:dyDescent="0.25">
      <c r="A105" s="38"/>
      <c r="B105" s="39"/>
      <c r="C105" s="38"/>
      <c r="D105" s="36"/>
      <c r="E105" s="37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</row>
    <row r="106" spans="1:25" ht="15.75" customHeight="1" x14ac:dyDescent="0.25">
      <c r="A106" s="38"/>
      <c r="B106" s="39"/>
      <c r="C106" s="38"/>
      <c r="D106" s="36"/>
      <c r="E106" s="37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</row>
    <row r="107" spans="1:25" ht="15.75" customHeight="1" x14ac:dyDescent="0.25">
      <c r="A107" s="38"/>
      <c r="B107" s="39"/>
      <c r="C107" s="38"/>
      <c r="D107" s="36"/>
      <c r="E107" s="37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</row>
    <row r="108" spans="1:25" ht="15.75" customHeight="1" x14ac:dyDescent="0.25">
      <c r="A108" s="38"/>
      <c r="B108" s="39"/>
      <c r="C108" s="38"/>
      <c r="D108" s="36"/>
      <c r="E108" s="37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</row>
    <row r="109" spans="1:25" ht="15.75" customHeight="1" x14ac:dyDescent="0.25">
      <c r="A109" s="38"/>
      <c r="B109" s="39"/>
      <c r="C109" s="38"/>
      <c r="D109" s="36"/>
      <c r="E109" s="37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</row>
    <row r="110" spans="1:25" ht="15.75" customHeight="1" x14ac:dyDescent="0.25">
      <c r="A110" s="38"/>
      <c r="B110" s="39"/>
      <c r="C110" s="38"/>
      <c r="D110" s="36"/>
      <c r="E110" s="37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</row>
    <row r="111" spans="1:25" ht="15.75" customHeight="1" x14ac:dyDescent="0.25">
      <c r="A111" s="38"/>
      <c r="B111" s="39"/>
      <c r="C111" s="38"/>
      <c r="D111" s="36"/>
      <c r="E111" s="37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</row>
    <row r="112" spans="1:25" ht="15.75" customHeight="1" x14ac:dyDescent="0.25">
      <c r="A112" s="38"/>
      <c r="B112" s="39"/>
      <c r="C112" s="38"/>
      <c r="D112" s="36"/>
      <c r="E112" s="37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</row>
    <row r="113" spans="1:25" ht="15.75" customHeight="1" x14ac:dyDescent="0.25">
      <c r="A113" s="38"/>
      <c r="B113" s="39"/>
      <c r="C113" s="38"/>
      <c r="D113" s="36"/>
      <c r="E113" s="37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</row>
    <row r="114" spans="1:25" ht="15.75" customHeight="1" x14ac:dyDescent="0.25">
      <c r="A114" s="38"/>
      <c r="B114" s="39"/>
      <c r="C114" s="38"/>
      <c r="D114" s="36"/>
      <c r="E114" s="37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</row>
    <row r="115" spans="1:25" ht="15.75" customHeight="1" x14ac:dyDescent="0.25">
      <c r="A115" s="38"/>
      <c r="B115" s="39"/>
      <c r="C115" s="38"/>
      <c r="D115" s="36"/>
      <c r="E115" s="37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</row>
    <row r="116" spans="1:25" ht="15.75" customHeight="1" x14ac:dyDescent="0.25">
      <c r="A116" s="38"/>
      <c r="B116" s="39"/>
      <c r="C116" s="38"/>
      <c r="D116" s="36"/>
      <c r="E116" s="37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</row>
    <row r="117" spans="1:25" ht="15.75" customHeight="1" x14ac:dyDescent="0.25">
      <c r="A117" s="38"/>
      <c r="B117" s="39"/>
      <c r="C117" s="38"/>
      <c r="D117" s="36"/>
      <c r="E117" s="37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</row>
    <row r="118" spans="1:25" ht="15.75" customHeight="1" x14ac:dyDescent="0.25">
      <c r="A118" s="38"/>
      <c r="B118" s="39"/>
      <c r="C118" s="38"/>
      <c r="D118" s="36"/>
      <c r="E118" s="37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</row>
    <row r="119" spans="1:25" ht="15.75" customHeight="1" x14ac:dyDescent="0.25">
      <c r="A119" s="38"/>
      <c r="B119" s="39"/>
      <c r="C119" s="38"/>
      <c r="D119" s="36"/>
      <c r="E119" s="37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</row>
    <row r="120" spans="1:25" ht="15.75" customHeight="1" x14ac:dyDescent="0.25">
      <c r="A120" s="38"/>
      <c r="B120" s="39"/>
      <c r="C120" s="38"/>
      <c r="D120" s="36"/>
      <c r="E120" s="37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</row>
    <row r="121" spans="1:25" ht="15.75" customHeight="1" x14ac:dyDescent="0.25">
      <c r="A121" s="38"/>
      <c r="B121" s="39"/>
      <c r="C121" s="38"/>
      <c r="D121" s="36"/>
      <c r="E121" s="37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</row>
    <row r="122" spans="1:25" ht="15.75" customHeight="1" x14ac:dyDescent="0.25">
      <c r="A122" s="38"/>
      <c r="B122" s="39"/>
      <c r="C122" s="38"/>
      <c r="D122" s="36"/>
      <c r="E122" s="37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</row>
    <row r="123" spans="1:25" ht="15.75" customHeight="1" x14ac:dyDescent="0.25">
      <c r="A123" s="38"/>
      <c r="B123" s="39"/>
      <c r="C123" s="38"/>
      <c r="D123" s="36"/>
      <c r="E123" s="37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</row>
    <row r="124" spans="1:25" ht="15.75" customHeight="1" x14ac:dyDescent="0.25">
      <c r="A124" s="38"/>
      <c r="B124" s="39"/>
      <c r="C124" s="38"/>
      <c r="D124" s="36"/>
      <c r="E124" s="37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</row>
    <row r="125" spans="1:25" ht="15.75" customHeight="1" x14ac:dyDescent="0.25">
      <c r="A125" s="38"/>
      <c r="B125" s="39"/>
      <c r="C125" s="38"/>
      <c r="D125" s="36"/>
      <c r="E125" s="37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</row>
    <row r="126" spans="1:25" ht="15.75" customHeight="1" x14ac:dyDescent="0.25">
      <c r="A126" s="38"/>
      <c r="B126" s="39"/>
      <c r="C126" s="38"/>
      <c r="D126" s="36"/>
      <c r="E126" s="37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</row>
    <row r="127" spans="1:25" ht="15.75" customHeight="1" x14ac:dyDescent="0.25">
      <c r="A127" s="38"/>
      <c r="B127" s="39"/>
      <c r="C127" s="38"/>
      <c r="D127" s="36"/>
      <c r="E127" s="37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</row>
    <row r="128" spans="1:25" ht="15.75" customHeight="1" x14ac:dyDescent="0.25">
      <c r="A128" s="38"/>
      <c r="B128" s="39"/>
      <c r="C128" s="38"/>
      <c r="D128" s="36"/>
      <c r="E128" s="37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</row>
    <row r="129" spans="1:25" ht="15.75" customHeight="1" x14ac:dyDescent="0.25">
      <c r="A129" s="38"/>
      <c r="B129" s="39"/>
      <c r="C129" s="38"/>
      <c r="D129" s="36"/>
      <c r="E129" s="37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</row>
    <row r="130" spans="1:25" ht="15.75" customHeight="1" x14ac:dyDescent="0.25">
      <c r="A130" s="38"/>
      <c r="B130" s="39"/>
      <c r="C130" s="38"/>
      <c r="D130" s="36"/>
      <c r="E130" s="37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</row>
    <row r="131" spans="1:25" ht="15.75" customHeight="1" x14ac:dyDescent="0.25">
      <c r="A131" s="38"/>
      <c r="B131" s="39"/>
      <c r="C131" s="38"/>
      <c r="D131" s="36"/>
      <c r="E131" s="37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</row>
    <row r="132" spans="1:25" ht="15.75" customHeight="1" x14ac:dyDescent="0.25">
      <c r="A132" s="38"/>
      <c r="B132" s="39"/>
      <c r="C132" s="38"/>
      <c r="D132" s="36"/>
      <c r="E132" s="37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</row>
    <row r="133" spans="1:25" ht="15.75" customHeight="1" x14ac:dyDescent="0.25">
      <c r="A133" s="38"/>
      <c r="B133" s="39"/>
      <c r="C133" s="38"/>
      <c r="D133" s="36"/>
      <c r="E133" s="37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</row>
    <row r="134" spans="1:25" ht="15.75" customHeight="1" x14ac:dyDescent="0.25">
      <c r="A134" s="38"/>
      <c r="B134" s="39"/>
      <c r="C134" s="38"/>
      <c r="D134" s="36"/>
      <c r="E134" s="37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</row>
    <row r="135" spans="1:25" ht="15.75" customHeight="1" x14ac:dyDescent="0.25">
      <c r="A135" s="38"/>
      <c r="B135" s="39"/>
      <c r="C135" s="38"/>
      <c r="D135" s="36"/>
      <c r="E135" s="37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</row>
    <row r="136" spans="1:25" ht="15.75" customHeight="1" x14ac:dyDescent="0.25">
      <c r="A136" s="38"/>
      <c r="B136" s="39"/>
      <c r="C136" s="38"/>
      <c r="D136" s="36"/>
      <c r="E136" s="37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</row>
    <row r="137" spans="1:25" ht="15.75" customHeight="1" x14ac:dyDescent="0.25">
      <c r="A137" s="38"/>
      <c r="B137" s="39"/>
      <c r="C137" s="38"/>
      <c r="D137" s="36"/>
      <c r="E137" s="37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</row>
    <row r="138" spans="1:25" ht="15.75" customHeight="1" x14ac:dyDescent="0.25">
      <c r="A138" s="38"/>
      <c r="B138" s="39"/>
      <c r="C138" s="38"/>
      <c r="D138" s="36"/>
      <c r="E138" s="37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</row>
    <row r="139" spans="1:25" ht="15.75" customHeight="1" x14ac:dyDescent="0.25">
      <c r="A139" s="38"/>
      <c r="B139" s="39"/>
      <c r="C139" s="38"/>
      <c r="D139" s="36"/>
      <c r="E139" s="37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</row>
    <row r="140" spans="1:25" ht="15.75" customHeight="1" x14ac:dyDescent="0.25">
      <c r="A140" s="38"/>
      <c r="B140" s="39"/>
      <c r="C140" s="38"/>
      <c r="D140" s="36"/>
      <c r="E140" s="37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</row>
    <row r="141" spans="1:25" ht="15.75" customHeight="1" x14ac:dyDescent="0.25">
      <c r="A141" s="38"/>
      <c r="B141" s="39"/>
      <c r="C141" s="38"/>
      <c r="D141" s="36"/>
      <c r="E141" s="37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</row>
    <row r="142" spans="1:25" ht="15.75" customHeight="1" x14ac:dyDescent="0.25">
      <c r="A142" s="38"/>
      <c r="B142" s="39"/>
      <c r="C142" s="38"/>
      <c r="D142" s="36"/>
      <c r="E142" s="37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</row>
    <row r="143" spans="1:25" ht="15.75" customHeight="1" x14ac:dyDescent="0.25">
      <c r="A143" s="38"/>
      <c r="B143" s="39"/>
      <c r="C143" s="38"/>
      <c r="D143" s="36"/>
      <c r="E143" s="37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</row>
    <row r="144" spans="1:25" ht="15.75" customHeight="1" x14ac:dyDescent="0.25">
      <c r="A144" s="38"/>
      <c r="B144" s="39"/>
      <c r="C144" s="38"/>
      <c r="D144" s="36"/>
      <c r="E144" s="37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</row>
    <row r="145" spans="1:25" ht="15.75" customHeight="1" x14ac:dyDescent="0.25">
      <c r="A145" s="38"/>
      <c r="B145" s="39"/>
      <c r="C145" s="38"/>
      <c r="D145" s="36"/>
      <c r="E145" s="37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</row>
    <row r="146" spans="1:25" ht="15.75" customHeight="1" x14ac:dyDescent="0.25">
      <c r="A146" s="38"/>
      <c r="B146" s="39"/>
      <c r="C146" s="38"/>
      <c r="D146" s="36"/>
      <c r="E146" s="37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</row>
    <row r="147" spans="1:25" ht="15.75" customHeight="1" x14ac:dyDescent="0.25">
      <c r="A147" s="38"/>
      <c r="B147" s="39"/>
      <c r="C147" s="38"/>
      <c r="D147" s="36"/>
      <c r="E147" s="37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</row>
    <row r="148" spans="1:25" ht="15.75" customHeight="1" x14ac:dyDescent="0.25">
      <c r="A148" s="38"/>
      <c r="B148" s="39"/>
      <c r="C148" s="38"/>
      <c r="D148" s="36"/>
      <c r="E148" s="37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</row>
    <row r="149" spans="1:25" ht="15.75" customHeight="1" x14ac:dyDescent="0.25">
      <c r="A149" s="38"/>
      <c r="B149" s="39"/>
      <c r="C149" s="38"/>
      <c r="D149" s="36"/>
      <c r="E149" s="37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</row>
    <row r="150" spans="1:25" ht="15.75" customHeight="1" x14ac:dyDescent="0.25">
      <c r="A150" s="38"/>
      <c r="B150" s="39"/>
      <c r="C150" s="38"/>
      <c r="D150" s="36"/>
      <c r="E150" s="37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</row>
    <row r="151" spans="1:25" ht="15.75" customHeight="1" x14ac:dyDescent="0.25">
      <c r="A151" s="38"/>
      <c r="B151" s="39"/>
      <c r="C151" s="38"/>
      <c r="D151" s="36"/>
      <c r="E151" s="37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</row>
    <row r="152" spans="1:25" ht="15.75" customHeight="1" x14ac:dyDescent="0.25">
      <c r="A152" s="38"/>
      <c r="B152" s="39"/>
      <c r="C152" s="38"/>
      <c r="D152" s="36"/>
      <c r="E152" s="37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</row>
    <row r="153" spans="1:25" ht="15.75" customHeight="1" x14ac:dyDescent="0.25">
      <c r="A153" s="38"/>
      <c r="B153" s="39"/>
      <c r="C153" s="38"/>
      <c r="D153" s="36"/>
      <c r="E153" s="37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</row>
    <row r="154" spans="1:25" ht="15.75" customHeight="1" x14ac:dyDescent="0.25">
      <c r="A154" s="38"/>
      <c r="B154" s="39"/>
      <c r="C154" s="38"/>
      <c r="D154" s="36"/>
      <c r="E154" s="37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</row>
    <row r="155" spans="1:25" ht="15.75" customHeight="1" x14ac:dyDescent="0.25">
      <c r="A155" s="38"/>
      <c r="B155" s="39"/>
      <c r="C155" s="38"/>
      <c r="D155" s="36"/>
      <c r="E155" s="37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</row>
    <row r="156" spans="1:25" ht="15.75" customHeight="1" x14ac:dyDescent="0.25">
      <c r="A156" s="38"/>
      <c r="B156" s="39"/>
      <c r="C156" s="38"/>
      <c r="D156" s="36"/>
      <c r="E156" s="37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</row>
    <row r="157" spans="1:25" ht="15.75" customHeight="1" x14ac:dyDescent="0.25">
      <c r="A157" s="38"/>
      <c r="B157" s="39"/>
      <c r="C157" s="38"/>
      <c r="D157" s="36"/>
      <c r="E157" s="37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</row>
    <row r="158" spans="1:25" ht="15.75" customHeight="1" x14ac:dyDescent="0.25">
      <c r="A158" s="38"/>
      <c r="B158" s="39"/>
      <c r="C158" s="38"/>
      <c r="D158" s="36"/>
      <c r="E158" s="37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</row>
    <row r="159" spans="1:25" ht="15.75" customHeight="1" x14ac:dyDescent="0.25">
      <c r="A159" s="38"/>
      <c r="B159" s="39"/>
      <c r="C159" s="38"/>
      <c r="D159" s="36"/>
      <c r="E159" s="37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</row>
    <row r="160" spans="1:25" ht="15.75" customHeight="1" x14ac:dyDescent="0.25">
      <c r="A160" s="38"/>
      <c r="B160" s="39"/>
      <c r="C160" s="38"/>
      <c r="D160" s="36"/>
      <c r="E160" s="37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</row>
    <row r="161" spans="1:25" ht="15.75" customHeight="1" x14ac:dyDescent="0.25">
      <c r="A161" s="38"/>
      <c r="B161" s="39"/>
      <c r="C161" s="38"/>
      <c r="D161" s="36"/>
      <c r="E161" s="37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</row>
    <row r="162" spans="1:25" ht="15.75" customHeight="1" x14ac:dyDescent="0.25">
      <c r="A162" s="38"/>
      <c r="B162" s="39"/>
      <c r="C162" s="38"/>
      <c r="D162" s="36"/>
      <c r="E162" s="37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</row>
    <row r="163" spans="1:25" ht="15.75" customHeight="1" x14ac:dyDescent="0.25">
      <c r="A163" s="38"/>
      <c r="B163" s="39"/>
      <c r="C163" s="38"/>
      <c r="D163" s="36"/>
      <c r="E163" s="37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</row>
    <row r="164" spans="1:25" ht="15.75" customHeight="1" x14ac:dyDescent="0.25">
      <c r="A164" s="38"/>
      <c r="B164" s="39"/>
      <c r="C164" s="38"/>
      <c r="D164" s="36"/>
      <c r="E164" s="37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</row>
    <row r="165" spans="1:25" ht="15.75" customHeight="1" x14ac:dyDescent="0.25">
      <c r="A165" s="38"/>
      <c r="B165" s="39"/>
      <c r="C165" s="38"/>
      <c r="D165" s="36"/>
      <c r="E165" s="37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</row>
    <row r="166" spans="1:25" ht="15.75" customHeight="1" x14ac:dyDescent="0.25">
      <c r="A166" s="38"/>
      <c r="B166" s="39"/>
      <c r="C166" s="38"/>
      <c r="D166" s="36"/>
      <c r="E166" s="37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</row>
    <row r="167" spans="1:25" ht="15.75" customHeight="1" x14ac:dyDescent="0.25">
      <c r="A167" s="38"/>
      <c r="B167" s="39"/>
      <c r="C167" s="38"/>
      <c r="D167" s="36"/>
      <c r="E167" s="37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</row>
    <row r="168" spans="1:25" ht="15.75" customHeight="1" x14ac:dyDescent="0.25">
      <c r="A168" s="38"/>
      <c r="B168" s="39"/>
      <c r="C168" s="38"/>
      <c r="D168" s="36"/>
      <c r="E168" s="37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</row>
    <row r="169" spans="1:25" ht="15.75" customHeight="1" x14ac:dyDescent="0.25">
      <c r="A169" s="38"/>
      <c r="B169" s="39"/>
      <c r="C169" s="38"/>
      <c r="D169" s="36"/>
      <c r="E169" s="37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</row>
    <row r="170" spans="1:25" ht="15.75" customHeight="1" x14ac:dyDescent="0.25">
      <c r="A170" s="38"/>
      <c r="B170" s="39"/>
      <c r="C170" s="38"/>
      <c r="D170" s="36"/>
      <c r="E170" s="37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</row>
    <row r="171" spans="1:25" ht="15.75" customHeight="1" x14ac:dyDescent="0.25">
      <c r="A171" s="38"/>
      <c r="B171" s="39"/>
      <c r="C171" s="38"/>
      <c r="D171" s="36"/>
      <c r="E171" s="37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</row>
    <row r="172" spans="1:25" ht="15.75" customHeight="1" x14ac:dyDescent="0.25">
      <c r="A172" s="38"/>
      <c r="B172" s="39"/>
      <c r="C172" s="38"/>
      <c r="D172" s="36"/>
      <c r="E172" s="37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</row>
    <row r="173" spans="1:25" ht="15.75" customHeight="1" x14ac:dyDescent="0.25">
      <c r="A173" s="38"/>
      <c r="B173" s="39"/>
      <c r="C173" s="38"/>
      <c r="D173" s="36"/>
      <c r="E173" s="37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</row>
    <row r="174" spans="1:25" ht="15.75" customHeight="1" x14ac:dyDescent="0.25">
      <c r="A174" s="38"/>
      <c r="B174" s="39"/>
      <c r="C174" s="38"/>
      <c r="D174" s="36"/>
      <c r="E174" s="37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</row>
    <row r="175" spans="1:25" ht="15.75" customHeight="1" x14ac:dyDescent="0.25">
      <c r="A175" s="38"/>
      <c r="B175" s="39"/>
      <c r="C175" s="38"/>
      <c r="D175" s="36"/>
      <c r="E175" s="37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</row>
    <row r="176" spans="1:25" ht="15.75" customHeight="1" x14ac:dyDescent="0.25">
      <c r="A176" s="38"/>
      <c r="B176" s="39"/>
      <c r="C176" s="38"/>
      <c r="D176" s="36"/>
      <c r="E176" s="37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</row>
    <row r="177" spans="1:25" ht="15.75" customHeight="1" x14ac:dyDescent="0.25">
      <c r="A177" s="38"/>
      <c r="B177" s="39"/>
      <c r="C177" s="38"/>
      <c r="D177" s="36"/>
      <c r="E177" s="37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</row>
    <row r="178" spans="1:25" ht="15.75" customHeight="1" x14ac:dyDescent="0.25">
      <c r="A178" s="38"/>
      <c r="B178" s="39"/>
      <c r="C178" s="38"/>
      <c r="D178" s="36"/>
      <c r="E178" s="37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</row>
    <row r="179" spans="1:25" ht="15.75" customHeight="1" x14ac:dyDescent="0.25">
      <c r="A179" s="38"/>
      <c r="B179" s="39"/>
      <c r="C179" s="38"/>
      <c r="D179" s="36"/>
      <c r="E179" s="37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</row>
    <row r="180" spans="1:25" ht="15.75" customHeight="1" x14ac:dyDescent="0.25">
      <c r="A180" s="38"/>
      <c r="B180" s="39"/>
      <c r="C180" s="38"/>
      <c r="D180" s="36"/>
      <c r="E180" s="37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</row>
    <row r="181" spans="1:25" ht="15.75" customHeight="1" x14ac:dyDescent="0.25">
      <c r="A181" s="38"/>
      <c r="B181" s="39"/>
      <c r="C181" s="38"/>
      <c r="D181" s="36"/>
      <c r="E181" s="37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</row>
    <row r="182" spans="1:25" ht="15.75" customHeight="1" x14ac:dyDescent="0.25">
      <c r="A182" s="38"/>
      <c r="B182" s="39"/>
      <c r="C182" s="38"/>
      <c r="D182" s="36"/>
      <c r="E182" s="37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</row>
    <row r="183" spans="1:25" ht="15.75" customHeight="1" x14ac:dyDescent="0.25">
      <c r="A183" s="38"/>
      <c r="B183" s="39"/>
      <c r="C183" s="38"/>
      <c r="D183" s="36"/>
      <c r="E183" s="37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</row>
    <row r="184" spans="1:25" ht="15.75" customHeight="1" x14ac:dyDescent="0.25">
      <c r="A184" s="38"/>
      <c r="B184" s="39"/>
      <c r="C184" s="38"/>
      <c r="D184" s="36"/>
      <c r="E184" s="37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</row>
    <row r="185" spans="1:25" ht="15.75" customHeight="1" x14ac:dyDescent="0.25">
      <c r="A185" s="38"/>
      <c r="B185" s="39"/>
      <c r="C185" s="38"/>
      <c r="D185" s="36"/>
      <c r="E185" s="37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</row>
    <row r="186" spans="1:25" ht="15.75" customHeight="1" x14ac:dyDescent="0.25">
      <c r="A186" s="38"/>
      <c r="B186" s="39"/>
      <c r="C186" s="38"/>
      <c r="D186" s="36"/>
      <c r="E186" s="37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</row>
    <row r="187" spans="1:25" ht="15.75" customHeight="1" x14ac:dyDescent="0.25">
      <c r="A187" s="38"/>
      <c r="B187" s="39"/>
      <c r="C187" s="38"/>
      <c r="D187" s="36"/>
      <c r="E187" s="37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</row>
    <row r="188" spans="1:25" ht="15.75" customHeight="1" x14ac:dyDescent="0.25">
      <c r="A188" s="38"/>
      <c r="B188" s="39"/>
      <c r="C188" s="38"/>
      <c r="D188" s="36"/>
      <c r="E188" s="37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</row>
    <row r="189" spans="1:25" ht="15.75" customHeight="1" x14ac:dyDescent="0.25">
      <c r="A189" s="38"/>
      <c r="B189" s="39"/>
      <c r="C189" s="38"/>
      <c r="D189" s="36"/>
      <c r="E189" s="37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</row>
    <row r="190" spans="1:25" ht="15.75" customHeight="1" x14ac:dyDescent="0.25">
      <c r="A190" s="38"/>
      <c r="B190" s="39"/>
      <c r="C190" s="38"/>
      <c r="D190" s="36"/>
      <c r="E190" s="37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</row>
    <row r="191" spans="1:25" ht="15.75" customHeight="1" x14ac:dyDescent="0.25">
      <c r="A191" s="38"/>
      <c r="B191" s="39"/>
      <c r="C191" s="38"/>
      <c r="D191" s="36"/>
      <c r="E191" s="37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</row>
    <row r="192" spans="1:25" ht="15.75" customHeight="1" x14ac:dyDescent="0.25">
      <c r="A192" s="38"/>
      <c r="B192" s="39"/>
      <c r="C192" s="38"/>
      <c r="D192" s="36"/>
      <c r="E192" s="37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</row>
    <row r="193" spans="1:25" ht="15.75" customHeight="1" x14ac:dyDescent="0.25">
      <c r="A193" s="38"/>
      <c r="B193" s="39"/>
      <c r="C193" s="38"/>
      <c r="D193" s="36"/>
      <c r="E193" s="37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</row>
    <row r="194" spans="1:25" ht="15.75" customHeight="1" x14ac:dyDescent="0.25">
      <c r="A194" s="38"/>
      <c r="B194" s="39"/>
      <c r="C194" s="38"/>
      <c r="D194" s="36"/>
      <c r="E194" s="37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</row>
    <row r="195" spans="1:25" ht="15.75" customHeight="1" x14ac:dyDescent="0.25">
      <c r="A195" s="38"/>
      <c r="B195" s="39"/>
      <c r="C195" s="38"/>
      <c r="D195" s="36"/>
      <c r="E195" s="37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</row>
    <row r="196" spans="1:25" ht="15.75" customHeight="1" x14ac:dyDescent="0.25">
      <c r="A196" s="38"/>
      <c r="B196" s="39"/>
      <c r="C196" s="38"/>
      <c r="D196" s="36"/>
      <c r="E196" s="37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</row>
    <row r="197" spans="1:25" ht="15.75" customHeight="1" x14ac:dyDescent="0.25">
      <c r="A197" s="38"/>
      <c r="B197" s="39"/>
      <c r="C197" s="38"/>
      <c r="D197" s="36"/>
      <c r="E197" s="37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</row>
    <row r="198" spans="1:25" ht="15.75" customHeight="1" x14ac:dyDescent="0.25">
      <c r="A198" s="38"/>
      <c r="B198" s="39"/>
      <c r="C198" s="38"/>
      <c r="D198" s="36"/>
      <c r="E198" s="37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</row>
    <row r="199" spans="1:25" ht="15.75" customHeight="1" x14ac:dyDescent="0.25">
      <c r="A199" s="38"/>
      <c r="B199" s="39"/>
      <c r="C199" s="38"/>
      <c r="D199" s="36"/>
      <c r="E199" s="37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</row>
    <row r="200" spans="1:25" ht="15.75" customHeight="1" x14ac:dyDescent="0.25">
      <c r="A200" s="38"/>
      <c r="B200" s="39"/>
      <c r="C200" s="38"/>
      <c r="D200" s="36"/>
      <c r="E200" s="37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</row>
    <row r="201" spans="1:25" ht="15.75" customHeight="1" x14ac:dyDescent="0.25">
      <c r="A201" s="38"/>
      <c r="B201" s="39"/>
      <c r="C201" s="38"/>
      <c r="D201" s="36"/>
      <c r="E201" s="37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</row>
    <row r="202" spans="1:25" ht="15.75" customHeight="1" x14ac:dyDescent="0.25">
      <c r="A202" s="38"/>
      <c r="B202" s="39"/>
      <c r="C202" s="38"/>
      <c r="D202" s="36"/>
      <c r="E202" s="37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</row>
    <row r="203" spans="1:25" ht="15.75" customHeight="1" x14ac:dyDescent="0.25">
      <c r="A203" s="38"/>
      <c r="B203" s="39"/>
      <c r="C203" s="38"/>
      <c r="D203" s="36"/>
      <c r="E203" s="37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</row>
    <row r="204" spans="1:25" ht="15.75" customHeight="1" x14ac:dyDescent="0.25">
      <c r="A204" s="38"/>
      <c r="B204" s="39"/>
      <c r="C204" s="38"/>
      <c r="D204" s="36"/>
      <c r="E204" s="37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</row>
    <row r="205" spans="1:25" ht="15.75" customHeight="1" x14ac:dyDescent="0.25">
      <c r="A205" s="38"/>
      <c r="B205" s="39"/>
      <c r="C205" s="38"/>
      <c r="D205" s="36"/>
      <c r="E205" s="37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</row>
    <row r="206" spans="1:25" ht="15.75" customHeight="1" x14ac:dyDescent="0.25">
      <c r="A206" s="38"/>
      <c r="B206" s="39"/>
      <c r="C206" s="38"/>
      <c r="D206" s="36"/>
      <c r="E206" s="37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</row>
    <row r="207" spans="1:25" ht="15.75" customHeight="1" x14ac:dyDescent="0.25">
      <c r="A207" s="38"/>
      <c r="B207" s="39"/>
      <c r="C207" s="38"/>
      <c r="D207" s="36"/>
      <c r="E207" s="37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</row>
    <row r="208" spans="1:25" ht="15.75" customHeight="1" x14ac:dyDescent="0.25">
      <c r="A208" s="38"/>
      <c r="B208" s="39"/>
      <c r="C208" s="38"/>
      <c r="D208" s="36"/>
      <c r="E208" s="37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</row>
    <row r="209" spans="1:25" ht="15.75" customHeight="1" x14ac:dyDescent="0.25">
      <c r="A209" s="38"/>
      <c r="B209" s="39"/>
      <c r="C209" s="38"/>
      <c r="D209" s="36"/>
      <c r="E209" s="37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</row>
    <row r="210" spans="1:25" ht="15.75" customHeight="1" x14ac:dyDescent="0.25">
      <c r="A210" s="38"/>
      <c r="B210" s="39"/>
      <c r="C210" s="38"/>
      <c r="D210" s="36"/>
      <c r="E210" s="37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</row>
    <row r="211" spans="1:25" ht="15.75" customHeight="1" x14ac:dyDescent="0.25">
      <c r="A211" s="38"/>
      <c r="B211" s="39"/>
      <c r="C211" s="38"/>
      <c r="D211" s="36"/>
      <c r="E211" s="37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</row>
    <row r="212" spans="1:25" ht="15.75" customHeight="1" x14ac:dyDescent="0.25">
      <c r="A212" s="38"/>
      <c r="B212" s="39"/>
      <c r="C212" s="38"/>
      <c r="D212" s="36"/>
      <c r="E212" s="37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</row>
    <row r="213" spans="1:25" ht="15.75" customHeight="1" x14ac:dyDescent="0.25">
      <c r="A213" s="38"/>
      <c r="B213" s="39"/>
      <c r="C213" s="38"/>
      <c r="D213" s="36"/>
      <c r="E213" s="37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</row>
    <row r="214" spans="1:25" ht="15.75" customHeight="1" x14ac:dyDescent="0.25">
      <c r="A214" s="38"/>
      <c r="B214" s="39"/>
      <c r="C214" s="38"/>
      <c r="D214" s="36"/>
      <c r="E214" s="37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</row>
    <row r="215" spans="1:25" ht="15.75" customHeight="1" x14ac:dyDescent="0.25">
      <c r="A215" s="38"/>
      <c r="B215" s="39"/>
      <c r="C215" s="38"/>
      <c r="D215" s="36"/>
      <c r="E215" s="37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</row>
    <row r="216" spans="1:25" ht="15.75" customHeight="1" x14ac:dyDescent="0.25">
      <c r="A216" s="38"/>
      <c r="B216" s="39"/>
      <c r="C216" s="38"/>
      <c r="D216" s="36"/>
      <c r="E216" s="37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</row>
    <row r="217" spans="1:25" ht="15.75" customHeight="1" x14ac:dyDescent="0.25">
      <c r="A217" s="38"/>
      <c r="B217" s="39"/>
      <c r="C217" s="38"/>
      <c r="D217" s="36"/>
      <c r="E217" s="37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</row>
    <row r="218" spans="1:25" ht="15.75" customHeight="1" x14ac:dyDescent="0.25">
      <c r="A218" s="38"/>
      <c r="B218" s="39"/>
      <c r="C218" s="38"/>
      <c r="D218" s="36"/>
      <c r="E218" s="37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</row>
    <row r="219" spans="1:25" ht="15.75" customHeight="1" x14ac:dyDescent="0.25">
      <c r="A219" s="38"/>
      <c r="B219" s="39"/>
      <c r="C219" s="38"/>
      <c r="D219" s="36"/>
      <c r="E219" s="37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</row>
    <row r="220" spans="1:25" ht="15.75" customHeight="1" x14ac:dyDescent="0.25">
      <c r="A220" s="38"/>
      <c r="B220" s="39"/>
      <c r="C220" s="38"/>
      <c r="D220" s="36"/>
      <c r="E220" s="37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</row>
    <row r="221" spans="1:25" ht="15.75" customHeight="1" x14ac:dyDescent="0.25">
      <c r="A221" s="38"/>
      <c r="B221" s="39"/>
      <c r="C221" s="38"/>
      <c r="D221" s="36"/>
      <c r="E221" s="37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</row>
    <row r="222" spans="1:25" ht="15.75" customHeight="1" x14ac:dyDescent="0.25">
      <c r="A222" s="38"/>
      <c r="B222" s="39"/>
      <c r="C222" s="38"/>
      <c r="D222" s="36"/>
      <c r="E222" s="37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</row>
    <row r="223" spans="1:25" ht="15.75" customHeight="1" x14ac:dyDescent="0.25">
      <c r="A223" s="38"/>
      <c r="B223" s="39"/>
      <c r="C223" s="38"/>
      <c r="D223" s="36"/>
      <c r="E223" s="37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</row>
    <row r="224" spans="1:25" ht="15.75" customHeight="1" x14ac:dyDescent="0.25">
      <c r="A224" s="38"/>
      <c r="B224" s="39"/>
      <c r="C224" s="38"/>
      <c r="D224" s="36"/>
      <c r="E224" s="37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</row>
    <row r="225" spans="1:25" ht="15.75" customHeight="1" x14ac:dyDescent="0.25">
      <c r="A225" s="38"/>
      <c r="B225" s="39"/>
      <c r="C225" s="38"/>
      <c r="D225" s="36"/>
      <c r="E225" s="37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</row>
    <row r="226" spans="1:25" ht="15.75" customHeight="1" x14ac:dyDescent="0.25">
      <c r="A226" s="38"/>
      <c r="B226" s="39"/>
      <c r="C226" s="38"/>
      <c r="D226" s="36"/>
      <c r="E226" s="37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</row>
    <row r="227" spans="1:25" ht="15.75" customHeight="1" x14ac:dyDescent="0.25">
      <c r="A227" s="38"/>
      <c r="B227" s="39"/>
      <c r="C227" s="38"/>
      <c r="D227" s="36"/>
      <c r="E227" s="37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</row>
    <row r="228" spans="1:25" ht="15.75" customHeight="1" x14ac:dyDescent="0.25">
      <c r="A228" s="38"/>
      <c r="B228" s="39"/>
      <c r="C228" s="38"/>
      <c r="D228" s="36"/>
      <c r="E228" s="37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</row>
    <row r="229" spans="1:25" ht="15.75" customHeight="1" x14ac:dyDescent="0.25">
      <c r="A229" s="38"/>
      <c r="B229" s="39"/>
      <c r="C229" s="38"/>
      <c r="D229" s="36"/>
      <c r="E229" s="37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</row>
    <row r="230" spans="1:25" ht="15.75" customHeight="1" x14ac:dyDescent="0.25">
      <c r="A230" s="38"/>
      <c r="B230" s="39"/>
      <c r="C230" s="38"/>
      <c r="D230" s="36"/>
      <c r="E230" s="37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</row>
    <row r="231" spans="1:25" ht="15.75" customHeight="1" x14ac:dyDescent="0.25">
      <c r="A231" s="38"/>
      <c r="B231" s="39"/>
      <c r="C231" s="38"/>
      <c r="D231" s="36"/>
      <c r="E231" s="37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</row>
    <row r="232" spans="1:25" ht="15.75" customHeight="1" x14ac:dyDescent="0.25">
      <c r="A232" s="38"/>
      <c r="B232" s="39"/>
      <c r="C232" s="38"/>
      <c r="D232" s="36"/>
      <c r="E232" s="37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</row>
    <row r="233" spans="1:25" ht="15.75" customHeight="1" x14ac:dyDescent="0.25">
      <c r="A233" s="38"/>
      <c r="B233" s="39"/>
      <c r="C233" s="38"/>
      <c r="D233" s="36"/>
      <c r="E233" s="37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</row>
    <row r="234" spans="1:25" ht="15.75" customHeight="1" x14ac:dyDescent="0.25">
      <c r="A234" s="38"/>
      <c r="B234" s="39"/>
      <c r="C234" s="38"/>
      <c r="D234" s="36"/>
      <c r="E234" s="37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</row>
    <row r="235" spans="1:25" ht="15.75" customHeight="1" x14ac:dyDescent="0.25">
      <c r="A235" s="38"/>
      <c r="B235" s="39"/>
      <c r="C235" s="38"/>
      <c r="D235" s="36"/>
      <c r="E235" s="37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</row>
    <row r="236" spans="1:25" ht="15.75" customHeight="1" x14ac:dyDescent="0.25">
      <c r="A236" s="38"/>
      <c r="B236" s="39"/>
      <c r="C236" s="38"/>
      <c r="D236" s="36"/>
      <c r="E236" s="37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</row>
    <row r="237" spans="1:25" ht="15.75" customHeight="1" x14ac:dyDescent="0.25">
      <c r="A237" s="38"/>
      <c r="B237" s="39"/>
      <c r="C237" s="38"/>
      <c r="D237" s="36"/>
      <c r="E237" s="37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</row>
    <row r="238" spans="1:25" ht="15.75" customHeight="1" x14ac:dyDescent="0.25">
      <c r="A238" s="38"/>
      <c r="B238" s="39"/>
      <c r="C238" s="38"/>
      <c r="D238" s="36"/>
      <c r="E238" s="37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</row>
    <row r="239" spans="1:25" ht="15.75" customHeight="1" x14ac:dyDescent="0.25">
      <c r="A239" s="38"/>
      <c r="B239" s="39"/>
      <c r="C239" s="38"/>
      <c r="D239" s="36"/>
      <c r="E239" s="37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</row>
    <row r="240" spans="1:25" ht="15.75" customHeight="1" x14ac:dyDescent="0.25">
      <c r="A240" s="38"/>
      <c r="B240" s="39"/>
      <c r="C240" s="38"/>
      <c r="D240" s="36"/>
      <c r="E240" s="37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</row>
    <row r="241" spans="1:25" ht="15.75" customHeight="1" x14ac:dyDescent="0.25">
      <c r="A241" s="38"/>
      <c r="B241" s="39"/>
      <c r="C241" s="38"/>
      <c r="D241" s="36"/>
      <c r="E241" s="37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</row>
    <row r="242" spans="1:25" ht="15.75" customHeight="1" x14ac:dyDescent="0.25">
      <c r="A242" s="38"/>
      <c r="B242" s="39"/>
      <c r="C242" s="38"/>
      <c r="D242" s="36"/>
      <c r="E242" s="37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</row>
    <row r="243" spans="1:25" ht="15.75" customHeight="1" x14ac:dyDescent="0.25">
      <c r="A243" s="38"/>
      <c r="B243" s="39"/>
      <c r="C243" s="38"/>
      <c r="D243" s="36"/>
      <c r="E243" s="37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</row>
    <row r="244" spans="1:25" ht="15.75" customHeight="1" x14ac:dyDescent="0.25">
      <c r="D244" s="36"/>
      <c r="E244" s="37"/>
    </row>
    <row r="245" spans="1:25" ht="15.75" customHeight="1" x14ac:dyDescent="0.25">
      <c r="D245" s="36"/>
      <c r="E245" s="37"/>
    </row>
    <row r="246" spans="1:25" ht="15.75" customHeight="1" x14ac:dyDescent="0.25">
      <c r="D246" s="36"/>
      <c r="E246" s="37"/>
    </row>
    <row r="247" spans="1:25" ht="15.75" customHeight="1" x14ac:dyDescent="0.25">
      <c r="D247" s="36"/>
      <c r="E247" s="37"/>
    </row>
    <row r="248" spans="1:25" ht="15.75" customHeight="1" x14ac:dyDescent="0.25">
      <c r="D248" s="36"/>
      <c r="E248" s="37"/>
    </row>
    <row r="249" spans="1:25" ht="15.75" customHeight="1" x14ac:dyDescent="0.25">
      <c r="D249" s="36"/>
      <c r="E249" s="37"/>
    </row>
    <row r="250" spans="1:25" ht="15.75" customHeight="1" x14ac:dyDescent="0.25">
      <c r="D250" s="36"/>
      <c r="E250" s="37"/>
    </row>
    <row r="251" spans="1:25" ht="15.75" customHeight="1" x14ac:dyDescent="0.25">
      <c r="D251" s="36"/>
      <c r="E251" s="37"/>
    </row>
    <row r="252" spans="1:25" ht="15.75" customHeight="1" x14ac:dyDescent="0.25">
      <c r="D252" s="36"/>
      <c r="E252" s="37"/>
    </row>
    <row r="253" spans="1:25" ht="15.75" customHeight="1" x14ac:dyDescent="0.25">
      <c r="D253" s="36"/>
      <c r="E253" s="37"/>
    </row>
    <row r="254" spans="1:25" ht="15.75" customHeight="1" x14ac:dyDescent="0.25">
      <c r="D254" s="36"/>
      <c r="E254" s="37"/>
    </row>
    <row r="255" spans="1:25" ht="15.75" customHeight="1" x14ac:dyDescent="0.25">
      <c r="D255" s="36"/>
      <c r="E255" s="37"/>
    </row>
    <row r="256" spans="1:25" ht="15.75" customHeight="1" x14ac:dyDescent="0.25">
      <c r="D256" s="36"/>
      <c r="E256" s="37"/>
    </row>
    <row r="257" spans="4:5" ht="15.75" customHeight="1" x14ac:dyDescent="0.25">
      <c r="D257" s="36"/>
      <c r="E257" s="37"/>
    </row>
    <row r="258" spans="4:5" ht="15.75" customHeight="1" x14ac:dyDescent="0.25">
      <c r="D258" s="36"/>
      <c r="E258" s="37"/>
    </row>
    <row r="259" spans="4:5" ht="15.75" customHeight="1" x14ac:dyDescent="0.25">
      <c r="D259" s="36"/>
      <c r="E259" s="37"/>
    </row>
    <row r="260" spans="4:5" ht="15.75" customHeight="1" x14ac:dyDescent="0.25">
      <c r="D260" s="36"/>
      <c r="E260" s="37"/>
    </row>
    <row r="261" spans="4:5" ht="15.75" customHeight="1" x14ac:dyDescent="0.25">
      <c r="D261" s="36"/>
      <c r="E261" s="37"/>
    </row>
    <row r="262" spans="4:5" ht="15.75" customHeight="1" x14ac:dyDescent="0.25">
      <c r="D262" s="36"/>
      <c r="E262" s="37"/>
    </row>
    <row r="263" spans="4:5" ht="15.75" customHeight="1" x14ac:dyDescent="0.25">
      <c r="D263" s="36"/>
      <c r="E263" s="37"/>
    </row>
    <row r="264" spans="4:5" ht="15.75" customHeight="1" x14ac:dyDescent="0.25">
      <c r="D264" s="36"/>
      <c r="E264" s="37"/>
    </row>
    <row r="265" spans="4:5" ht="15.75" customHeight="1" x14ac:dyDescent="0.25">
      <c r="D265" s="36"/>
      <c r="E265" s="37"/>
    </row>
    <row r="266" spans="4:5" ht="15.75" customHeight="1" x14ac:dyDescent="0.25">
      <c r="D266" s="36"/>
      <c r="E266" s="37"/>
    </row>
    <row r="267" spans="4:5" ht="15.75" customHeight="1" x14ac:dyDescent="0.25">
      <c r="D267" s="36"/>
      <c r="E267" s="37"/>
    </row>
    <row r="268" spans="4:5" ht="15.75" customHeight="1" x14ac:dyDescent="0.25">
      <c r="D268" s="36"/>
      <c r="E268" s="37"/>
    </row>
    <row r="269" spans="4:5" ht="15.75" customHeight="1" x14ac:dyDescent="0.25">
      <c r="D269" s="36"/>
      <c r="E269" s="37"/>
    </row>
    <row r="270" spans="4:5" ht="15.75" customHeight="1" x14ac:dyDescent="0.25">
      <c r="D270" s="36"/>
      <c r="E270" s="37"/>
    </row>
    <row r="271" spans="4:5" ht="15.75" customHeight="1" x14ac:dyDescent="0.25">
      <c r="D271" s="36"/>
      <c r="E271" s="37"/>
    </row>
    <row r="272" spans="4:5" ht="15.75" customHeight="1" x14ac:dyDescent="0.25">
      <c r="D272" s="36"/>
      <c r="E272" s="37"/>
    </row>
    <row r="273" spans="4:5" ht="15.75" customHeight="1" x14ac:dyDescent="0.25">
      <c r="D273" s="36"/>
      <c r="E273" s="37"/>
    </row>
    <row r="274" spans="4:5" ht="15.75" customHeight="1" x14ac:dyDescent="0.25">
      <c r="D274" s="36"/>
      <c r="E274" s="37"/>
    </row>
    <row r="275" spans="4:5" ht="15.75" customHeight="1" x14ac:dyDescent="0.25">
      <c r="D275" s="36"/>
      <c r="E275" s="37"/>
    </row>
    <row r="276" spans="4:5" ht="15.75" customHeight="1" x14ac:dyDescent="0.25">
      <c r="D276" s="36"/>
      <c r="E276" s="37"/>
    </row>
    <row r="277" spans="4:5" ht="15.75" customHeight="1" x14ac:dyDescent="0.25">
      <c r="D277" s="36"/>
      <c r="E277" s="37"/>
    </row>
    <row r="278" spans="4:5" ht="15.75" customHeight="1" x14ac:dyDescent="0.25">
      <c r="D278" s="36"/>
      <c r="E278" s="37"/>
    </row>
    <row r="279" spans="4:5" ht="15.75" customHeight="1" x14ac:dyDescent="0.25">
      <c r="D279" s="36"/>
      <c r="E279" s="37"/>
    </row>
    <row r="280" spans="4:5" ht="15.75" customHeight="1" x14ac:dyDescent="0.25">
      <c r="D280" s="36"/>
      <c r="E280" s="37"/>
    </row>
    <row r="281" spans="4:5" ht="15.75" customHeight="1" x14ac:dyDescent="0.25">
      <c r="D281" s="36"/>
      <c r="E281" s="37"/>
    </row>
    <row r="282" spans="4:5" ht="15.75" customHeight="1" x14ac:dyDescent="0.25">
      <c r="D282" s="36"/>
      <c r="E282" s="37"/>
    </row>
    <row r="283" spans="4:5" ht="15.75" customHeight="1" x14ac:dyDescent="0.25">
      <c r="D283" s="36"/>
      <c r="E283" s="37"/>
    </row>
    <row r="284" spans="4:5" ht="15.75" customHeight="1" x14ac:dyDescent="0.25">
      <c r="D284" s="36"/>
      <c r="E284" s="37"/>
    </row>
    <row r="285" spans="4:5" ht="15.75" customHeight="1" x14ac:dyDescent="0.25">
      <c r="D285" s="36"/>
      <c r="E285" s="37"/>
    </row>
    <row r="286" spans="4:5" ht="15.75" customHeight="1" x14ac:dyDescent="0.25">
      <c r="D286" s="36"/>
      <c r="E286" s="37"/>
    </row>
    <row r="287" spans="4:5" ht="15.75" customHeight="1" x14ac:dyDescent="0.25">
      <c r="D287" s="36"/>
      <c r="E287" s="37"/>
    </row>
    <row r="288" spans="4:5" ht="15.75" customHeight="1" x14ac:dyDescent="0.25">
      <c r="D288" s="36"/>
      <c r="E288" s="37"/>
    </row>
    <row r="289" spans="4:5" ht="15.75" customHeight="1" x14ac:dyDescent="0.25">
      <c r="D289" s="36"/>
      <c r="E289" s="37"/>
    </row>
    <row r="290" spans="4:5" ht="15.75" customHeight="1" x14ac:dyDescent="0.25">
      <c r="D290" s="36"/>
      <c r="E290" s="37"/>
    </row>
    <row r="291" spans="4:5" ht="15.75" customHeight="1" x14ac:dyDescent="0.25">
      <c r="D291" s="36"/>
      <c r="E291" s="37"/>
    </row>
    <row r="292" spans="4:5" ht="15.75" customHeight="1" x14ac:dyDescent="0.25">
      <c r="D292" s="36"/>
      <c r="E292" s="37"/>
    </row>
    <row r="293" spans="4:5" ht="15.75" customHeight="1" x14ac:dyDescent="0.25">
      <c r="D293" s="36"/>
      <c r="E293" s="37"/>
    </row>
    <row r="294" spans="4:5" ht="15.75" customHeight="1" x14ac:dyDescent="0.25">
      <c r="D294" s="36"/>
      <c r="E294" s="37"/>
    </row>
    <row r="295" spans="4:5" ht="15.75" customHeight="1" x14ac:dyDescent="0.25">
      <c r="D295" s="36"/>
      <c r="E295" s="37"/>
    </row>
    <row r="296" spans="4:5" ht="15.75" customHeight="1" x14ac:dyDescent="0.25">
      <c r="D296" s="36"/>
      <c r="E296" s="37"/>
    </row>
    <row r="297" spans="4:5" ht="15.75" customHeight="1" x14ac:dyDescent="0.25">
      <c r="D297" s="36"/>
      <c r="E297" s="37"/>
    </row>
    <row r="298" spans="4:5" ht="15.75" customHeight="1" x14ac:dyDescent="0.25">
      <c r="D298" s="36"/>
      <c r="E298" s="37"/>
    </row>
    <row r="299" spans="4:5" ht="15.75" customHeight="1" x14ac:dyDescent="0.25">
      <c r="D299" s="36"/>
      <c r="E299" s="37"/>
    </row>
    <row r="300" spans="4:5" ht="15.75" customHeight="1" x14ac:dyDescent="0.25">
      <c r="D300" s="36"/>
      <c r="E300" s="37"/>
    </row>
    <row r="301" spans="4:5" ht="15.75" customHeight="1" x14ac:dyDescent="0.25">
      <c r="D301" s="36"/>
      <c r="E301" s="37"/>
    </row>
    <row r="302" spans="4:5" ht="15.75" customHeight="1" x14ac:dyDescent="0.25">
      <c r="D302" s="36"/>
      <c r="E302" s="37"/>
    </row>
    <row r="303" spans="4:5" ht="15.75" customHeight="1" x14ac:dyDescent="0.25">
      <c r="D303" s="36"/>
      <c r="E303" s="37"/>
    </row>
    <row r="304" spans="4:5" ht="15.75" customHeight="1" x14ac:dyDescent="0.25">
      <c r="D304" s="36"/>
      <c r="E304" s="37"/>
    </row>
    <row r="305" spans="4:5" ht="15.75" customHeight="1" x14ac:dyDescent="0.25">
      <c r="D305" s="36"/>
      <c r="E305" s="37"/>
    </row>
    <row r="306" spans="4:5" ht="15.75" customHeight="1" x14ac:dyDescent="0.25">
      <c r="D306" s="36"/>
      <c r="E306" s="37"/>
    </row>
    <row r="307" spans="4:5" ht="15.75" customHeight="1" x14ac:dyDescent="0.25">
      <c r="D307" s="36"/>
      <c r="E307" s="37"/>
    </row>
    <row r="308" spans="4:5" ht="15.75" customHeight="1" x14ac:dyDescent="0.25">
      <c r="D308" s="36"/>
      <c r="E308" s="37"/>
    </row>
    <row r="309" spans="4:5" ht="15.75" customHeight="1" x14ac:dyDescent="0.25">
      <c r="D309" s="36"/>
      <c r="E309" s="37"/>
    </row>
    <row r="310" spans="4:5" ht="15.75" customHeight="1" x14ac:dyDescent="0.25">
      <c r="D310" s="36"/>
      <c r="E310" s="37"/>
    </row>
    <row r="311" spans="4:5" ht="15.75" customHeight="1" x14ac:dyDescent="0.25">
      <c r="D311" s="36"/>
      <c r="E311" s="37"/>
    </row>
    <row r="312" spans="4:5" ht="15.75" customHeight="1" x14ac:dyDescent="0.25">
      <c r="D312" s="36"/>
      <c r="E312" s="37"/>
    </row>
    <row r="313" spans="4:5" ht="15.75" customHeight="1" x14ac:dyDescent="0.25">
      <c r="D313" s="36"/>
      <c r="E313" s="37"/>
    </row>
    <row r="314" spans="4:5" ht="15.75" customHeight="1" x14ac:dyDescent="0.25">
      <c r="D314" s="36"/>
      <c r="E314" s="37"/>
    </row>
    <row r="315" spans="4:5" ht="15.75" customHeight="1" x14ac:dyDescent="0.25">
      <c r="D315" s="36"/>
      <c r="E315" s="37"/>
    </row>
    <row r="316" spans="4:5" ht="15.75" customHeight="1" x14ac:dyDescent="0.25">
      <c r="D316" s="36"/>
      <c r="E316" s="37"/>
    </row>
    <row r="317" spans="4:5" ht="15.75" customHeight="1" x14ac:dyDescent="0.25">
      <c r="D317" s="36"/>
      <c r="E317" s="37"/>
    </row>
    <row r="318" spans="4:5" ht="15.75" customHeight="1" x14ac:dyDescent="0.25">
      <c r="D318" s="36"/>
      <c r="E318" s="37"/>
    </row>
    <row r="319" spans="4:5" ht="15.75" customHeight="1" x14ac:dyDescent="0.25">
      <c r="D319" s="36"/>
      <c r="E319" s="37"/>
    </row>
    <row r="320" spans="4:5" ht="15.75" customHeight="1" x14ac:dyDescent="0.25">
      <c r="D320" s="36"/>
      <c r="E320" s="37"/>
    </row>
    <row r="321" spans="4:5" ht="15.75" customHeight="1" x14ac:dyDescent="0.25">
      <c r="D321" s="36"/>
      <c r="E321" s="37"/>
    </row>
    <row r="322" spans="4:5" ht="15.75" customHeight="1" x14ac:dyDescent="0.25">
      <c r="D322" s="36"/>
      <c r="E322" s="37"/>
    </row>
    <row r="323" spans="4:5" ht="15.75" customHeight="1" x14ac:dyDescent="0.25">
      <c r="D323" s="36"/>
      <c r="E323" s="37"/>
    </row>
    <row r="324" spans="4:5" ht="15.75" customHeight="1" x14ac:dyDescent="0.25">
      <c r="D324" s="36"/>
      <c r="E324" s="37"/>
    </row>
    <row r="325" spans="4:5" ht="15.75" customHeight="1" x14ac:dyDescent="0.25">
      <c r="D325" s="36"/>
      <c r="E325" s="37"/>
    </row>
    <row r="326" spans="4:5" ht="15.75" customHeight="1" x14ac:dyDescent="0.25">
      <c r="D326" s="36"/>
      <c r="E326" s="37"/>
    </row>
    <row r="327" spans="4:5" ht="15.75" customHeight="1" x14ac:dyDescent="0.25">
      <c r="D327" s="36"/>
      <c r="E327" s="37"/>
    </row>
    <row r="328" spans="4:5" ht="15.75" customHeight="1" x14ac:dyDescent="0.25">
      <c r="D328" s="36"/>
      <c r="E328" s="37"/>
    </row>
    <row r="329" spans="4:5" ht="15.75" customHeight="1" x14ac:dyDescent="0.25">
      <c r="D329" s="36"/>
      <c r="E329" s="37"/>
    </row>
    <row r="330" spans="4:5" ht="15.75" customHeight="1" x14ac:dyDescent="0.25">
      <c r="D330" s="36"/>
      <c r="E330" s="37"/>
    </row>
    <row r="331" spans="4:5" ht="15.75" customHeight="1" x14ac:dyDescent="0.25">
      <c r="D331" s="36"/>
      <c r="E331" s="37"/>
    </row>
    <row r="332" spans="4:5" ht="15.75" customHeight="1" x14ac:dyDescent="0.25">
      <c r="D332" s="36"/>
      <c r="E332" s="37"/>
    </row>
    <row r="333" spans="4:5" ht="15.75" customHeight="1" x14ac:dyDescent="0.25">
      <c r="D333" s="36"/>
      <c r="E333" s="37"/>
    </row>
    <row r="334" spans="4:5" ht="15.75" customHeight="1" x14ac:dyDescent="0.25">
      <c r="D334" s="36"/>
      <c r="E334" s="37"/>
    </row>
    <row r="335" spans="4:5" ht="15.75" customHeight="1" x14ac:dyDescent="0.25">
      <c r="D335" s="36"/>
      <c r="E335" s="37"/>
    </row>
    <row r="336" spans="4:5" ht="15.75" customHeight="1" x14ac:dyDescent="0.25">
      <c r="D336" s="36"/>
      <c r="E336" s="37"/>
    </row>
    <row r="337" spans="4:5" ht="15.75" customHeight="1" x14ac:dyDescent="0.25">
      <c r="D337" s="36"/>
      <c r="E337" s="37"/>
    </row>
    <row r="338" spans="4:5" ht="15.75" customHeight="1" x14ac:dyDescent="0.25">
      <c r="D338" s="36"/>
      <c r="E338" s="37"/>
    </row>
    <row r="339" spans="4:5" ht="15.75" customHeight="1" x14ac:dyDescent="0.25">
      <c r="D339" s="36"/>
      <c r="E339" s="37"/>
    </row>
    <row r="340" spans="4:5" ht="15.75" customHeight="1" x14ac:dyDescent="0.25">
      <c r="D340" s="36"/>
      <c r="E340" s="37"/>
    </row>
    <row r="341" spans="4:5" ht="15.75" customHeight="1" x14ac:dyDescent="0.25">
      <c r="D341" s="36"/>
      <c r="E341" s="37"/>
    </row>
    <row r="342" spans="4:5" ht="15.75" customHeight="1" x14ac:dyDescent="0.25">
      <c r="D342" s="36"/>
      <c r="E342" s="37"/>
    </row>
    <row r="343" spans="4:5" ht="15.75" customHeight="1" x14ac:dyDescent="0.25">
      <c r="D343" s="36"/>
      <c r="E343" s="37"/>
    </row>
    <row r="344" spans="4:5" ht="15.75" customHeight="1" x14ac:dyDescent="0.25">
      <c r="D344" s="36"/>
      <c r="E344" s="37"/>
    </row>
    <row r="345" spans="4:5" ht="15.75" customHeight="1" x14ac:dyDescent="0.25">
      <c r="D345" s="36"/>
      <c r="E345" s="37"/>
    </row>
    <row r="346" spans="4:5" ht="15.75" customHeight="1" x14ac:dyDescent="0.25">
      <c r="D346" s="36"/>
      <c r="E346" s="37"/>
    </row>
    <row r="347" spans="4:5" ht="15.75" customHeight="1" x14ac:dyDescent="0.25">
      <c r="D347" s="36"/>
      <c r="E347" s="37"/>
    </row>
    <row r="348" spans="4:5" ht="15.75" customHeight="1" x14ac:dyDescent="0.25">
      <c r="D348" s="36"/>
      <c r="E348" s="37"/>
    </row>
    <row r="349" spans="4:5" ht="15.75" customHeight="1" x14ac:dyDescent="0.25">
      <c r="D349" s="36"/>
      <c r="E349" s="37"/>
    </row>
    <row r="350" spans="4:5" ht="15.75" customHeight="1" x14ac:dyDescent="0.25">
      <c r="D350" s="36"/>
      <c r="E350" s="37"/>
    </row>
    <row r="351" spans="4:5" ht="15.75" customHeight="1" x14ac:dyDescent="0.25">
      <c r="D351" s="36"/>
      <c r="E351" s="37"/>
    </row>
    <row r="352" spans="4:5" ht="15.75" customHeight="1" x14ac:dyDescent="0.25">
      <c r="D352" s="36"/>
      <c r="E352" s="37"/>
    </row>
    <row r="353" spans="4:5" ht="15.75" customHeight="1" x14ac:dyDescent="0.25">
      <c r="D353" s="36"/>
      <c r="E353" s="37"/>
    </row>
    <row r="354" spans="4:5" ht="15.75" customHeight="1" x14ac:dyDescent="0.25">
      <c r="D354" s="36"/>
      <c r="E354" s="37"/>
    </row>
    <row r="355" spans="4:5" ht="15.75" customHeight="1" x14ac:dyDescent="0.25">
      <c r="D355" s="36"/>
      <c r="E355" s="37"/>
    </row>
    <row r="356" spans="4:5" ht="15.75" customHeight="1" x14ac:dyDescent="0.25">
      <c r="D356" s="36"/>
      <c r="E356" s="37"/>
    </row>
    <row r="357" spans="4:5" ht="15.75" customHeight="1" x14ac:dyDescent="0.25">
      <c r="D357" s="36"/>
      <c r="E357" s="37"/>
    </row>
    <row r="358" spans="4:5" ht="15.75" customHeight="1" x14ac:dyDescent="0.25">
      <c r="D358" s="36"/>
      <c r="E358" s="37"/>
    </row>
    <row r="359" spans="4:5" ht="15.75" customHeight="1" x14ac:dyDescent="0.25">
      <c r="D359" s="36"/>
      <c r="E359" s="37"/>
    </row>
    <row r="360" spans="4:5" ht="15.75" customHeight="1" x14ac:dyDescent="0.25">
      <c r="D360" s="36"/>
      <c r="E360" s="37"/>
    </row>
    <row r="361" spans="4:5" ht="15.75" customHeight="1" x14ac:dyDescent="0.25">
      <c r="D361" s="36"/>
      <c r="E361" s="37"/>
    </row>
    <row r="362" spans="4:5" ht="15.75" customHeight="1" x14ac:dyDescent="0.25">
      <c r="D362" s="36"/>
      <c r="E362" s="37"/>
    </row>
    <row r="363" spans="4:5" ht="15.75" customHeight="1" x14ac:dyDescent="0.25">
      <c r="D363" s="36"/>
      <c r="E363" s="37"/>
    </row>
    <row r="364" spans="4:5" ht="15.75" customHeight="1" x14ac:dyDescent="0.25">
      <c r="D364" s="36"/>
      <c r="E364" s="37"/>
    </row>
    <row r="365" spans="4:5" ht="15.75" customHeight="1" x14ac:dyDescent="0.25">
      <c r="D365" s="36"/>
      <c r="E365" s="37"/>
    </row>
    <row r="366" spans="4:5" ht="15.75" customHeight="1" x14ac:dyDescent="0.25">
      <c r="D366" s="36"/>
      <c r="E366" s="37"/>
    </row>
    <row r="367" spans="4:5" ht="15.75" customHeight="1" x14ac:dyDescent="0.25">
      <c r="D367" s="36"/>
      <c r="E367" s="37"/>
    </row>
    <row r="368" spans="4:5" ht="15.75" customHeight="1" x14ac:dyDescent="0.25">
      <c r="D368" s="36"/>
      <c r="E368" s="37"/>
    </row>
    <row r="369" spans="4:5" ht="15.75" customHeight="1" x14ac:dyDescent="0.25">
      <c r="D369" s="36"/>
      <c r="E369" s="37"/>
    </row>
    <row r="370" spans="4:5" ht="15.75" customHeight="1" x14ac:dyDescent="0.25">
      <c r="D370" s="36"/>
      <c r="E370" s="37"/>
    </row>
    <row r="371" spans="4:5" ht="15.75" customHeight="1" x14ac:dyDescent="0.25">
      <c r="D371" s="36"/>
      <c r="E371" s="37"/>
    </row>
    <row r="372" spans="4:5" ht="15.75" customHeight="1" x14ac:dyDescent="0.25">
      <c r="D372" s="36"/>
      <c r="E372" s="37"/>
    </row>
    <row r="373" spans="4:5" ht="15.75" customHeight="1" x14ac:dyDescent="0.25">
      <c r="D373" s="36"/>
      <c r="E373" s="37"/>
    </row>
    <row r="374" spans="4:5" ht="15.75" customHeight="1" x14ac:dyDescent="0.25">
      <c r="D374" s="36"/>
      <c r="E374" s="37"/>
    </row>
    <row r="375" spans="4:5" ht="15.75" customHeight="1" x14ac:dyDescent="0.25">
      <c r="D375" s="36"/>
      <c r="E375" s="37"/>
    </row>
    <row r="376" spans="4:5" ht="15.75" customHeight="1" x14ac:dyDescent="0.25">
      <c r="D376" s="36"/>
      <c r="E376" s="37"/>
    </row>
    <row r="377" spans="4:5" ht="15.75" customHeight="1" x14ac:dyDescent="0.25">
      <c r="D377" s="36"/>
      <c r="E377" s="37"/>
    </row>
    <row r="378" spans="4:5" ht="15.75" customHeight="1" x14ac:dyDescent="0.25">
      <c r="D378" s="36"/>
      <c r="E378" s="37"/>
    </row>
    <row r="379" spans="4:5" ht="15.75" customHeight="1" x14ac:dyDescent="0.25">
      <c r="D379" s="36"/>
      <c r="E379" s="37"/>
    </row>
    <row r="380" spans="4:5" ht="15.75" customHeight="1" x14ac:dyDescent="0.25">
      <c r="D380" s="36"/>
      <c r="E380" s="37"/>
    </row>
    <row r="381" spans="4:5" ht="15.75" customHeight="1" x14ac:dyDescent="0.25">
      <c r="D381" s="36"/>
      <c r="E381" s="37"/>
    </row>
    <row r="382" spans="4:5" ht="15.75" customHeight="1" x14ac:dyDescent="0.25">
      <c r="D382" s="36"/>
      <c r="E382" s="37"/>
    </row>
    <row r="383" spans="4:5" ht="15.75" customHeight="1" x14ac:dyDescent="0.25">
      <c r="D383" s="36"/>
      <c r="E383" s="37"/>
    </row>
    <row r="384" spans="4:5" ht="15.75" customHeight="1" x14ac:dyDescent="0.25">
      <c r="D384" s="36"/>
      <c r="E384" s="37"/>
    </row>
    <row r="385" spans="4:5" ht="15.75" customHeight="1" x14ac:dyDescent="0.25">
      <c r="D385" s="36"/>
      <c r="E385" s="37"/>
    </row>
    <row r="386" spans="4:5" ht="15.75" customHeight="1" x14ac:dyDescent="0.25">
      <c r="D386" s="36"/>
      <c r="E386" s="37"/>
    </row>
    <row r="387" spans="4:5" ht="15.75" customHeight="1" x14ac:dyDescent="0.25">
      <c r="D387" s="36"/>
      <c r="E387" s="37"/>
    </row>
    <row r="388" spans="4:5" ht="15.75" customHeight="1" x14ac:dyDescent="0.25">
      <c r="D388" s="36"/>
      <c r="E388" s="37"/>
    </row>
    <row r="389" spans="4:5" ht="15.75" customHeight="1" x14ac:dyDescent="0.25">
      <c r="D389" s="36"/>
      <c r="E389" s="37"/>
    </row>
    <row r="390" spans="4:5" ht="15.75" customHeight="1" x14ac:dyDescent="0.25">
      <c r="D390" s="36"/>
      <c r="E390" s="37"/>
    </row>
    <row r="391" spans="4:5" ht="15.75" customHeight="1" x14ac:dyDescent="0.25">
      <c r="D391" s="36"/>
      <c r="E391" s="37"/>
    </row>
    <row r="392" spans="4:5" ht="15.75" customHeight="1" x14ac:dyDescent="0.25">
      <c r="D392" s="36"/>
      <c r="E392" s="37"/>
    </row>
    <row r="393" spans="4:5" ht="15.75" customHeight="1" x14ac:dyDescent="0.25">
      <c r="D393" s="36"/>
      <c r="E393" s="37"/>
    </row>
    <row r="394" spans="4:5" ht="15.75" customHeight="1" x14ac:dyDescent="0.25">
      <c r="D394" s="36"/>
      <c r="E394" s="37"/>
    </row>
    <row r="395" spans="4:5" ht="15.75" customHeight="1" x14ac:dyDescent="0.25">
      <c r="D395" s="36"/>
      <c r="E395" s="37"/>
    </row>
    <row r="396" spans="4:5" ht="15.75" customHeight="1" x14ac:dyDescent="0.25">
      <c r="D396" s="36"/>
      <c r="E396" s="37"/>
    </row>
    <row r="397" spans="4:5" ht="15.75" customHeight="1" x14ac:dyDescent="0.25">
      <c r="D397" s="36"/>
      <c r="E397" s="37"/>
    </row>
    <row r="398" spans="4:5" ht="15.75" customHeight="1" x14ac:dyDescent="0.25">
      <c r="D398" s="36"/>
      <c r="E398" s="37"/>
    </row>
    <row r="399" spans="4:5" ht="15.75" customHeight="1" x14ac:dyDescent="0.25">
      <c r="D399" s="36"/>
      <c r="E399" s="37"/>
    </row>
    <row r="400" spans="4:5" ht="15.75" customHeight="1" x14ac:dyDescent="0.25">
      <c r="D400" s="36"/>
      <c r="E400" s="37"/>
    </row>
    <row r="401" spans="4:5" ht="15.75" customHeight="1" x14ac:dyDescent="0.25">
      <c r="D401" s="36"/>
      <c r="E401" s="37"/>
    </row>
    <row r="402" spans="4:5" ht="15.75" customHeight="1" x14ac:dyDescent="0.25">
      <c r="D402" s="36"/>
      <c r="E402" s="37"/>
    </row>
    <row r="403" spans="4:5" ht="15.75" customHeight="1" x14ac:dyDescent="0.25">
      <c r="D403" s="36"/>
      <c r="E403" s="37"/>
    </row>
    <row r="404" spans="4:5" ht="15.75" customHeight="1" x14ac:dyDescent="0.25">
      <c r="D404" s="36"/>
      <c r="E404" s="37"/>
    </row>
    <row r="405" spans="4:5" ht="15.75" customHeight="1" x14ac:dyDescent="0.25">
      <c r="D405" s="36"/>
      <c r="E405" s="37"/>
    </row>
    <row r="406" spans="4:5" ht="15.75" customHeight="1" x14ac:dyDescent="0.25">
      <c r="D406" s="36"/>
      <c r="E406" s="37"/>
    </row>
    <row r="407" spans="4:5" ht="15.75" customHeight="1" x14ac:dyDescent="0.25">
      <c r="D407" s="36"/>
      <c r="E407" s="37"/>
    </row>
    <row r="408" spans="4:5" ht="15.75" customHeight="1" x14ac:dyDescent="0.25">
      <c r="D408" s="36"/>
      <c r="E408" s="37"/>
    </row>
    <row r="409" spans="4:5" ht="15.75" customHeight="1" x14ac:dyDescent="0.25">
      <c r="D409" s="36"/>
      <c r="E409" s="37"/>
    </row>
    <row r="410" spans="4:5" ht="15.75" customHeight="1" x14ac:dyDescent="0.25">
      <c r="D410" s="36"/>
      <c r="E410" s="37"/>
    </row>
    <row r="411" spans="4:5" ht="15.75" customHeight="1" x14ac:dyDescent="0.25">
      <c r="D411" s="36"/>
      <c r="E411" s="37"/>
    </row>
    <row r="412" spans="4:5" ht="15.75" customHeight="1" x14ac:dyDescent="0.25">
      <c r="D412" s="36"/>
      <c r="E412" s="37"/>
    </row>
    <row r="413" spans="4:5" ht="15.75" customHeight="1" x14ac:dyDescent="0.25">
      <c r="D413" s="36"/>
      <c r="E413" s="37"/>
    </row>
    <row r="414" spans="4:5" ht="15.75" customHeight="1" x14ac:dyDescent="0.25">
      <c r="D414" s="36"/>
      <c r="E414" s="37"/>
    </row>
    <row r="415" spans="4:5" ht="15.75" customHeight="1" x14ac:dyDescent="0.25">
      <c r="D415" s="36"/>
      <c r="E415" s="37"/>
    </row>
    <row r="416" spans="4:5" ht="15.75" customHeight="1" x14ac:dyDescent="0.25">
      <c r="D416" s="36"/>
      <c r="E416" s="37"/>
    </row>
    <row r="417" spans="4:5" ht="15.75" customHeight="1" x14ac:dyDescent="0.25">
      <c r="D417" s="36"/>
      <c r="E417" s="37"/>
    </row>
    <row r="418" spans="4:5" ht="15.75" customHeight="1" x14ac:dyDescent="0.25">
      <c r="D418" s="36"/>
      <c r="E418" s="37"/>
    </row>
    <row r="419" spans="4:5" ht="15.75" customHeight="1" x14ac:dyDescent="0.25">
      <c r="D419" s="36"/>
      <c r="E419" s="37"/>
    </row>
    <row r="420" spans="4:5" ht="15.75" customHeight="1" x14ac:dyDescent="0.25">
      <c r="D420" s="36"/>
      <c r="E420" s="37"/>
    </row>
    <row r="421" spans="4:5" ht="15.75" customHeight="1" x14ac:dyDescent="0.25">
      <c r="D421" s="36"/>
      <c r="E421" s="37"/>
    </row>
    <row r="422" spans="4:5" ht="15.75" customHeight="1" x14ac:dyDescent="0.25">
      <c r="D422" s="36"/>
      <c r="E422" s="37"/>
    </row>
    <row r="423" spans="4:5" ht="15.75" customHeight="1" x14ac:dyDescent="0.25">
      <c r="D423" s="36"/>
      <c r="E423" s="37"/>
    </row>
    <row r="424" spans="4:5" ht="15.75" customHeight="1" x14ac:dyDescent="0.25">
      <c r="D424" s="36"/>
      <c r="E424" s="37"/>
    </row>
    <row r="425" spans="4:5" ht="15.75" customHeight="1" x14ac:dyDescent="0.25">
      <c r="D425" s="36"/>
      <c r="E425" s="37"/>
    </row>
    <row r="426" spans="4:5" ht="15.75" customHeight="1" x14ac:dyDescent="0.25">
      <c r="D426" s="36"/>
      <c r="E426" s="37"/>
    </row>
    <row r="427" spans="4:5" ht="15.75" customHeight="1" x14ac:dyDescent="0.25">
      <c r="D427" s="36"/>
      <c r="E427" s="37"/>
    </row>
    <row r="428" spans="4:5" ht="15.75" customHeight="1" x14ac:dyDescent="0.25">
      <c r="D428" s="36"/>
      <c r="E428" s="37"/>
    </row>
    <row r="429" spans="4:5" ht="15.75" customHeight="1" x14ac:dyDescent="0.25">
      <c r="D429" s="36"/>
      <c r="E429" s="37"/>
    </row>
    <row r="430" spans="4:5" ht="15.75" customHeight="1" x14ac:dyDescent="0.25">
      <c r="D430" s="36"/>
      <c r="E430" s="37"/>
    </row>
    <row r="431" spans="4:5" ht="15.75" customHeight="1" x14ac:dyDescent="0.25">
      <c r="D431" s="36"/>
      <c r="E431" s="37"/>
    </row>
    <row r="432" spans="4:5" ht="15.75" customHeight="1" x14ac:dyDescent="0.25">
      <c r="D432" s="36"/>
      <c r="E432" s="37"/>
    </row>
    <row r="433" spans="4:5" ht="15.75" customHeight="1" x14ac:dyDescent="0.25">
      <c r="D433" s="36"/>
      <c r="E433" s="37"/>
    </row>
    <row r="434" spans="4:5" ht="15.75" customHeight="1" x14ac:dyDescent="0.25">
      <c r="D434" s="36"/>
      <c r="E434" s="37"/>
    </row>
    <row r="435" spans="4:5" ht="15.75" customHeight="1" x14ac:dyDescent="0.25">
      <c r="D435" s="36"/>
      <c r="E435" s="37"/>
    </row>
    <row r="436" spans="4:5" ht="15.75" customHeight="1" x14ac:dyDescent="0.25">
      <c r="D436" s="36"/>
      <c r="E436" s="37"/>
    </row>
    <row r="437" spans="4:5" ht="15.75" customHeight="1" x14ac:dyDescent="0.25">
      <c r="D437" s="36"/>
      <c r="E437" s="37"/>
    </row>
    <row r="438" spans="4:5" ht="15.75" customHeight="1" x14ac:dyDescent="0.25">
      <c r="D438" s="36"/>
      <c r="E438" s="37"/>
    </row>
    <row r="439" spans="4:5" ht="15.75" customHeight="1" x14ac:dyDescent="0.25">
      <c r="D439" s="36"/>
      <c r="E439" s="37"/>
    </row>
    <row r="440" spans="4:5" ht="15.75" customHeight="1" x14ac:dyDescent="0.25">
      <c r="D440" s="36"/>
      <c r="E440" s="37"/>
    </row>
    <row r="441" spans="4:5" ht="15.75" customHeight="1" x14ac:dyDescent="0.25">
      <c r="D441" s="36"/>
      <c r="E441" s="37"/>
    </row>
    <row r="442" spans="4:5" ht="15.75" customHeight="1" x14ac:dyDescent="0.25">
      <c r="D442" s="36"/>
      <c r="E442" s="37"/>
    </row>
    <row r="443" spans="4:5" ht="15.75" customHeight="1" x14ac:dyDescent="0.25">
      <c r="D443" s="36"/>
      <c r="E443" s="37"/>
    </row>
    <row r="444" spans="4:5" ht="15.75" customHeight="1" x14ac:dyDescent="0.25">
      <c r="D444" s="36"/>
      <c r="E444" s="37"/>
    </row>
    <row r="445" spans="4:5" ht="15.75" customHeight="1" x14ac:dyDescent="0.25">
      <c r="D445" s="36"/>
      <c r="E445" s="37"/>
    </row>
    <row r="446" spans="4:5" ht="15.75" customHeight="1" x14ac:dyDescent="0.25">
      <c r="D446" s="36"/>
      <c r="E446" s="37"/>
    </row>
    <row r="447" spans="4:5" ht="15.75" customHeight="1" x14ac:dyDescent="0.25">
      <c r="D447" s="36"/>
      <c r="E447" s="37"/>
    </row>
    <row r="448" spans="4:5" ht="15.75" customHeight="1" x14ac:dyDescent="0.25">
      <c r="D448" s="36"/>
      <c r="E448" s="37"/>
    </row>
    <row r="449" spans="4:5" ht="15.75" customHeight="1" x14ac:dyDescent="0.25">
      <c r="D449" s="36"/>
      <c r="E449" s="37"/>
    </row>
    <row r="450" spans="4:5" ht="15.75" customHeight="1" x14ac:dyDescent="0.25">
      <c r="D450" s="36"/>
      <c r="E450" s="37"/>
    </row>
    <row r="451" spans="4:5" ht="15.75" customHeight="1" x14ac:dyDescent="0.25">
      <c r="D451" s="36"/>
      <c r="E451" s="37"/>
    </row>
    <row r="452" spans="4:5" ht="15.75" customHeight="1" x14ac:dyDescent="0.25">
      <c r="D452" s="36"/>
      <c r="E452" s="37"/>
    </row>
    <row r="453" spans="4:5" ht="15.75" customHeight="1" x14ac:dyDescent="0.25">
      <c r="D453" s="36"/>
      <c r="E453" s="37"/>
    </row>
    <row r="454" spans="4:5" ht="15.75" customHeight="1" x14ac:dyDescent="0.25">
      <c r="D454" s="36"/>
      <c r="E454" s="37"/>
    </row>
    <row r="455" spans="4:5" ht="15.75" customHeight="1" x14ac:dyDescent="0.25">
      <c r="D455" s="36"/>
      <c r="E455" s="37"/>
    </row>
    <row r="456" spans="4:5" ht="15.75" customHeight="1" x14ac:dyDescent="0.25">
      <c r="D456" s="36"/>
      <c r="E456" s="37"/>
    </row>
    <row r="457" spans="4:5" ht="15.75" customHeight="1" x14ac:dyDescent="0.25">
      <c r="D457" s="36"/>
      <c r="E457" s="37"/>
    </row>
    <row r="458" spans="4:5" ht="15.75" customHeight="1" x14ac:dyDescent="0.25">
      <c r="D458" s="36"/>
      <c r="E458" s="37"/>
    </row>
    <row r="459" spans="4:5" ht="15.75" customHeight="1" x14ac:dyDescent="0.25">
      <c r="D459" s="36"/>
      <c r="E459" s="37"/>
    </row>
    <row r="460" spans="4:5" ht="15.75" customHeight="1" x14ac:dyDescent="0.25">
      <c r="D460" s="36"/>
      <c r="E460" s="37"/>
    </row>
    <row r="461" spans="4:5" ht="15.75" customHeight="1" x14ac:dyDescent="0.25">
      <c r="D461" s="36"/>
      <c r="E461" s="37"/>
    </row>
    <row r="462" spans="4:5" ht="15.75" customHeight="1" x14ac:dyDescent="0.25">
      <c r="D462" s="36"/>
      <c r="E462" s="37"/>
    </row>
    <row r="463" spans="4:5" ht="15.75" customHeight="1" x14ac:dyDescent="0.25">
      <c r="D463" s="36"/>
      <c r="E463" s="37"/>
    </row>
    <row r="464" spans="4:5" ht="15.75" customHeight="1" x14ac:dyDescent="0.25">
      <c r="D464" s="36"/>
      <c r="E464" s="37"/>
    </row>
    <row r="465" spans="4:5" ht="15.75" customHeight="1" x14ac:dyDescent="0.25">
      <c r="D465" s="36"/>
      <c r="E465" s="37"/>
    </row>
    <row r="466" spans="4:5" ht="15.75" customHeight="1" x14ac:dyDescent="0.25">
      <c r="D466" s="36"/>
      <c r="E466" s="37"/>
    </row>
    <row r="467" spans="4:5" ht="15.75" customHeight="1" x14ac:dyDescent="0.25">
      <c r="D467" s="36"/>
      <c r="E467" s="37"/>
    </row>
    <row r="468" spans="4:5" ht="15.75" customHeight="1" x14ac:dyDescent="0.25">
      <c r="D468" s="36"/>
      <c r="E468" s="37"/>
    </row>
    <row r="469" spans="4:5" ht="15.75" customHeight="1" x14ac:dyDescent="0.25">
      <c r="D469" s="36"/>
      <c r="E469" s="37"/>
    </row>
    <row r="470" spans="4:5" ht="15.75" customHeight="1" x14ac:dyDescent="0.25">
      <c r="D470" s="36"/>
      <c r="E470" s="37"/>
    </row>
    <row r="471" spans="4:5" ht="15.75" customHeight="1" x14ac:dyDescent="0.25">
      <c r="D471" s="36"/>
      <c r="E471" s="37"/>
    </row>
    <row r="472" spans="4:5" ht="15.75" customHeight="1" x14ac:dyDescent="0.25">
      <c r="D472" s="36"/>
      <c r="E472" s="37"/>
    </row>
    <row r="473" spans="4:5" ht="15.75" customHeight="1" x14ac:dyDescent="0.25">
      <c r="D473" s="36"/>
      <c r="E473" s="37"/>
    </row>
    <row r="474" spans="4:5" ht="15.75" customHeight="1" x14ac:dyDescent="0.25">
      <c r="D474" s="36"/>
      <c r="E474" s="37"/>
    </row>
    <row r="475" spans="4:5" ht="15.75" customHeight="1" x14ac:dyDescent="0.25">
      <c r="D475" s="36"/>
      <c r="E475" s="37"/>
    </row>
    <row r="476" spans="4:5" ht="15.75" customHeight="1" x14ac:dyDescent="0.25">
      <c r="D476" s="36"/>
      <c r="E476" s="37"/>
    </row>
    <row r="477" spans="4:5" ht="15.75" customHeight="1" x14ac:dyDescent="0.25">
      <c r="D477" s="36"/>
      <c r="E477" s="37"/>
    </row>
    <row r="478" spans="4:5" ht="15.75" customHeight="1" x14ac:dyDescent="0.25">
      <c r="D478" s="36"/>
      <c r="E478" s="37"/>
    </row>
    <row r="479" spans="4:5" ht="15.75" customHeight="1" x14ac:dyDescent="0.25">
      <c r="D479" s="36"/>
      <c r="E479" s="37"/>
    </row>
    <row r="480" spans="4:5" ht="15.75" customHeight="1" x14ac:dyDescent="0.25">
      <c r="D480" s="36"/>
      <c r="E480" s="37"/>
    </row>
    <row r="481" spans="4:5" ht="15.75" customHeight="1" x14ac:dyDescent="0.25">
      <c r="D481" s="36"/>
      <c r="E481" s="37"/>
    </row>
    <row r="482" spans="4:5" ht="15.75" customHeight="1" x14ac:dyDescent="0.25">
      <c r="D482" s="36"/>
      <c r="E482" s="37"/>
    </row>
    <row r="483" spans="4:5" ht="15.75" customHeight="1" x14ac:dyDescent="0.25">
      <c r="D483" s="36"/>
      <c r="E483" s="37"/>
    </row>
    <row r="484" spans="4:5" ht="15.75" customHeight="1" x14ac:dyDescent="0.25">
      <c r="D484" s="36"/>
      <c r="E484" s="37"/>
    </row>
    <row r="485" spans="4:5" ht="15.75" customHeight="1" x14ac:dyDescent="0.25">
      <c r="D485" s="36"/>
      <c r="E485" s="37"/>
    </row>
    <row r="486" spans="4:5" ht="15.75" customHeight="1" x14ac:dyDescent="0.25">
      <c r="D486" s="36"/>
      <c r="E486" s="37"/>
    </row>
    <row r="487" spans="4:5" ht="15.75" customHeight="1" x14ac:dyDescent="0.25">
      <c r="D487" s="36"/>
      <c r="E487" s="37"/>
    </row>
    <row r="488" spans="4:5" ht="15.75" customHeight="1" x14ac:dyDescent="0.25">
      <c r="D488" s="36"/>
      <c r="E488" s="37"/>
    </row>
    <row r="489" spans="4:5" ht="15.75" customHeight="1" x14ac:dyDescent="0.25">
      <c r="D489" s="36"/>
      <c r="E489" s="37"/>
    </row>
    <row r="490" spans="4:5" ht="15.75" customHeight="1" x14ac:dyDescent="0.25">
      <c r="D490" s="36"/>
      <c r="E490" s="37"/>
    </row>
    <row r="491" spans="4:5" ht="15.75" customHeight="1" x14ac:dyDescent="0.25">
      <c r="D491" s="36"/>
      <c r="E491" s="37"/>
    </row>
    <row r="492" spans="4:5" ht="15.75" customHeight="1" x14ac:dyDescent="0.25">
      <c r="D492" s="36"/>
      <c r="E492" s="37"/>
    </row>
    <row r="493" spans="4:5" ht="15.75" customHeight="1" x14ac:dyDescent="0.25">
      <c r="D493" s="36"/>
      <c r="E493" s="37"/>
    </row>
    <row r="494" spans="4:5" ht="15.75" customHeight="1" x14ac:dyDescent="0.25">
      <c r="D494" s="36"/>
      <c r="E494" s="37"/>
    </row>
    <row r="495" spans="4:5" ht="15.75" customHeight="1" x14ac:dyDescent="0.25">
      <c r="D495" s="36"/>
      <c r="E495" s="37"/>
    </row>
    <row r="496" spans="4:5" ht="15.75" customHeight="1" x14ac:dyDescent="0.25">
      <c r="D496" s="36"/>
      <c r="E496" s="37"/>
    </row>
    <row r="497" spans="4:5" ht="15.75" customHeight="1" x14ac:dyDescent="0.25">
      <c r="D497" s="36"/>
      <c r="E497" s="37"/>
    </row>
    <row r="498" spans="4:5" ht="15.75" customHeight="1" x14ac:dyDescent="0.25">
      <c r="D498" s="36"/>
      <c r="E498" s="37"/>
    </row>
    <row r="499" spans="4:5" ht="15.75" customHeight="1" x14ac:dyDescent="0.25">
      <c r="D499" s="36"/>
      <c r="E499" s="37"/>
    </row>
    <row r="500" spans="4:5" ht="15.75" customHeight="1" x14ac:dyDescent="0.25">
      <c r="D500" s="36"/>
      <c r="E500" s="37"/>
    </row>
    <row r="501" spans="4:5" ht="15.75" customHeight="1" x14ac:dyDescent="0.25">
      <c r="D501" s="36"/>
      <c r="E501" s="37"/>
    </row>
    <row r="502" spans="4:5" ht="15.75" customHeight="1" x14ac:dyDescent="0.25">
      <c r="D502" s="36"/>
      <c r="E502" s="37"/>
    </row>
    <row r="503" spans="4:5" ht="15.75" customHeight="1" x14ac:dyDescent="0.25">
      <c r="D503" s="36"/>
      <c r="E503" s="37"/>
    </row>
    <row r="504" spans="4:5" ht="15.75" customHeight="1" x14ac:dyDescent="0.25">
      <c r="D504" s="36"/>
      <c r="E504" s="37"/>
    </row>
    <row r="505" spans="4:5" ht="15.75" customHeight="1" x14ac:dyDescent="0.25">
      <c r="D505" s="36"/>
      <c r="E505" s="37"/>
    </row>
    <row r="506" spans="4:5" ht="15.75" customHeight="1" x14ac:dyDescent="0.25">
      <c r="D506" s="36"/>
      <c r="E506" s="37"/>
    </row>
    <row r="507" spans="4:5" ht="15.75" customHeight="1" x14ac:dyDescent="0.25">
      <c r="D507" s="36"/>
      <c r="E507" s="37"/>
    </row>
    <row r="508" spans="4:5" ht="15.75" customHeight="1" x14ac:dyDescent="0.25">
      <c r="D508" s="36"/>
      <c r="E508" s="37"/>
    </row>
    <row r="509" spans="4:5" ht="15.75" customHeight="1" x14ac:dyDescent="0.25">
      <c r="D509" s="36"/>
      <c r="E509" s="37"/>
    </row>
    <row r="510" spans="4:5" ht="15.75" customHeight="1" x14ac:dyDescent="0.25">
      <c r="D510" s="36"/>
      <c r="E510" s="37"/>
    </row>
    <row r="511" spans="4:5" ht="15.75" customHeight="1" x14ac:dyDescent="0.25">
      <c r="D511" s="36"/>
      <c r="E511" s="37"/>
    </row>
    <row r="512" spans="4:5" ht="15.75" customHeight="1" x14ac:dyDescent="0.25">
      <c r="D512" s="36"/>
      <c r="E512" s="37"/>
    </row>
    <row r="513" spans="4:5" ht="15.75" customHeight="1" x14ac:dyDescent="0.25">
      <c r="D513" s="36"/>
      <c r="E513" s="37"/>
    </row>
    <row r="514" spans="4:5" ht="15.75" customHeight="1" x14ac:dyDescent="0.25">
      <c r="D514" s="36"/>
      <c r="E514" s="37"/>
    </row>
    <row r="515" spans="4:5" ht="15.75" customHeight="1" x14ac:dyDescent="0.25">
      <c r="D515" s="36"/>
      <c r="E515" s="37"/>
    </row>
    <row r="516" spans="4:5" ht="15.75" customHeight="1" x14ac:dyDescent="0.25">
      <c r="D516" s="36"/>
      <c r="E516" s="37"/>
    </row>
    <row r="517" spans="4:5" ht="15.75" customHeight="1" x14ac:dyDescent="0.25">
      <c r="D517" s="36"/>
      <c r="E517" s="37"/>
    </row>
    <row r="518" spans="4:5" ht="15.75" customHeight="1" x14ac:dyDescent="0.25">
      <c r="D518" s="36"/>
      <c r="E518" s="37"/>
    </row>
    <row r="519" spans="4:5" ht="15.75" customHeight="1" x14ac:dyDescent="0.25">
      <c r="D519" s="36"/>
      <c r="E519" s="37"/>
    </row>
    <row r="520" spans="4:5" ht="15.75" customHeight="1" x14ac:dyDescent="0.25">
      <c r="D520" s="36"/>
      <c r="E520" s="37"/>
    </row>
    <row r="521" spans="4:5" ht="15.75" customHeight="1" x14ac:dyDescent="0.25">
      <c r="D521" s="36"/>
      <c r="E521" s="37"/>
    </row>
    <row r="522" spans="4:5" ht="15.75" customHeight="1" x14ac:dyDescent="0.25">
      <c r="D522" s="36"/>
      <c r="E522" s="37"/>
    </row>
    <row r="523" spans="4:5" ht="15.75" customHeight="1" x14ac:dyDescent="0.25">
      <c r="D523" s="36"/>
      <c r="E523" s="37"/>
    </row>
    <row r="524" spans="4:5" ht="15.75" customHeight="1" x14ac:dyDescent="0.25">
      <c r="D524" s="36"/>
      <c r="E524" s="37"/>
    </row>
    <row r="525" spans="4:5" ht="15.75" customHeight="1" x14ac:dyDescent="0.25">
      <c r="D525" s="36"/>
      <c r="E525" s="37"/>
    </row>
    <row r="526" spans="4:5" ht="15.75" customHeight="1" x14ac:dyDescent="0.25">
      <c r="D526" s="36"/>
      <c r="E526" s="37"/>
    </row>
    <row r="527" spans="4:5" ht="15.75" customHeight="1" x14ac:dyDescent="0.25">
      <c r="D527" s="36"/>
      <c r="E527" s="37"/>
    </row>
    <row r="528" spans="4:5" ht="15.75" customHeight="1" x14ac:dyDescent="0.25">
      <c r="D528" s="36"/>
      <c r="E528" s="37"/>
    </row>
    <row r="529" spans="4:5" ht="15.75" customHeight="1" x14ac:dyDescent="0.25">
      <c r="D529" s="36"/>
      <c r="E529" s="37"/>
    </row>
    <row r="530" spans="4:5" ht="15.75" customHeight="1" x14ac:dyDescent="0.25">
      <c r="D530" s="36"/>
      <c r="E530" s="37"/>
    </row>
    <row r="531" spans="4:5" ht="15.75" customHeight="1" x14ac:dyDescent="0.25">
      <c r="D531" s="36"/>
      <c r="E531" s="37"/>
    </row>
    <row r="532" spans="4:5" ht="15.75" customHeight="1" x14ac:dyDescent="0.25">
      <c r="D532" s="36"/>
      <c r="E532" s="37"/>
    </row>
    <row r="533" spans="4:5" ht="15.75" customHeight="1" x14ac:dyDescent="0.25">
      <c r="D533" s="36"/>
      <c r="E533" s="37"/>
    </row>
    <row r="534" spans="4:5" ht="15.75" customHeight="1" x14ac:dyDescent="0.25">
      <c r="D534" s="36"/>
      <c r="E534" s="37"/>
    </row>
    <row r="535" spans="4:5" ht="15.75" customHeight="1" x14ac:dyDescent="0.25">
      <c r="D535" s="36"/>
      <c r="E535" s="37"/>
    </row>
    <row r="536" spans="4:5" ht="15.75" customHeight="1" x14ac:dyDescent="0.25">
      <c r="D536" s="36"/>
      <c r="E536" s="37"/>
    </row>
    <row r="537" spans="4:5" ht="15.75" customHeight="1" x14ac:dyDescent="0.25">
      <c r="D537" s="36"/>
      <c r="E537" s="37"/>
    </row>
    <row r="538" spans="4:5" ht="15.75" customHeight="1" x14ac:dyDescent="0.25">
      <c r="D538" s="36"/>
      <c r="E538" s="37"/>
    </row>
    <row r="539" spans="4:5" ht="15.75" customHeight="1" x14ac:dyDescent="0.25">
      <c r="D539" s="36"/>
      <c r="E539" s="37"/>
    </row>
    <row r="540" spans="4:5" ht="15.75" customHeight="1" x14ac:dyDescent="0.25">
      <c r="D540" s="36"/>
      <c r="E540" s="37"/>
    </row>
    <row r="541" spans="4:5" ht="15.75" customHeight="1" x14ac:dyDescent="0.25">
      <c r="D541" s="36"/>
      <c r="E541" s="37"/>
    </row>
    <row r="542" spans="4:5" ht="15.75" customHeight="1" x14ac:dyDescent="0.25">
      <c r="D542" s="36"/>
      <c r="E542" s="37"/>
    </row>
    <row r="543" spans="4:5" ht="15.75" customHeight="1" x14ac:dyDescent="0.25">
      <c r="D543" s="36"/>
      <c r="E543" s="37"/>
    </row>
    <row r="544" spans="4:5" ht="15.75" customHeight="1" x14ac:dyDescent="0.25">
      <c r="D544" s="36"/>
      <c r="E544" s="37"/>
    </row>
    <row r="545" spans="4:5" ht="15.75" customHeight="1" x14ac:dyDescent="0.25">
      <c r="D545" s="36"/>
      <c r="E545" s="37"/>
    </row>
    <row r="546" spans="4:5" ht="15.75" customHeight="1" x14ac:dyDescent="0.25">
      <c r="D546" s="36"/>
      <c r="E546" s="37"/>
    </row>
    <row r="547" spans="4:5" ht="15.75" customHeight="1" x14ac:dyDescent="0.25">
      <c r="D547" s="36"/>
      <c r="E547" s="37"/>
    </row>
    <row r="548" spans="4:5" ht="15.75" customHeight="1" x14ac:dyDescent="0.25">
      <c r="D548" s="36"/>
      <c r="E548" s="37"/>
    </row>
    <row r="549" spans="4:5" ht="15.75" customHeight="1" x14ac:dyDescent="0.25">
      <c r="D549" s="36"/>
      <c r="E549" s="37"/>
    </row>
    <row r="550" spans="4:5" ht="15.75" customHeight="1" x14ac:dyDescent="0.25">
      <c r="D550" s="36"/>
      <c r="E550" s="37"/>
    </row>
    <row r="551" spans="4:5" ht="15.75" customHeight="1" x14ac:dyDescent="0.25">
      <c r="D551" s="36"/>
      <c r="E551" s="37"/>
    </row>
    <row r="552" spans="4:5" ht="15.75" customHeight="1" x14ac:dyDescent="0.25">
      <c r="D552" s="36"/>
      <c r="E552" s="37"/>
    </row>
    <row r="553" spans="4:5" ht="15.75" customHeight="1" x14ac:dyDescent="0.25">
      <c r="D553" s="36"/>
      <c r="E553" s="37"/>
    </row>
    <row r="554" spans="4:5" ht="15.75" customHeight="1" x14ac:dyDescent="0.25">
      <c r="D554" s="36"/>
      <c r="E554" s="37"/>
    </row>
    <row r="555" spans="4:5" ht="15.75" customHeight="1" x14ac:dyDescent="0.25">
      <c r="D555" s="36"/>
      <c r="E555" s="37"/>
    </row>
    <row r="556" spans="4:5" ht="15.75" customHeight="1" x14ac:dyDescent="0.25">
      <c r="D556" s="36"/>
      <c r="E556" s="37"/>
    </row>
    <row r="557" spans="4:5" ht="15.75" customHeight="1" x14ac:dyDescent="0.25">
      <c r="D557" s="36"/>
      <c r="E557" s="37"/>
    </row>
    <row r="558" spans="4:5" ht="15.75" customHeight="1" x14ac:dyDescent="0.25">
      <c r="D558" s="36"/>
      <c r="E558" s="37"/>
    </row>
    <row r="559" spans="4:5" ht="15.75" customHeight="1" x14ac:dyDescent="0.25">
      <c r="D559" s="36"/>
      <c r="E559" s="37"/>
    </row>
    <row r="560" spans="4:5" ht="15.75" customHeight="1" x14ac:dyDescent="0.25">
      <c r="D560" s="36"/>
      <c r="E560" s="37"/>
    </row>
    <row r="561" spans="4:5" ht="15.75" customHeight="1" x14ac:dyDescent="0.25">
      <c r="D561" s="36"/>
      <c r="E561" s="37"/>
    </row>
    <row r="562" spans="4:5" ht="15.75" customHeight="1" x14ac:dyDescent="0.25">
      <c r="D562" s="36"/>
      <c r="E562" s="37"/>
    </row>
    <row r="563" spans="4:5" ht="15.75" customHeight="1" x14ac:dyDescent="0.25">
      <c r="D563" s="36"/>
      <c r="E563" s="37"/>
    </row>
    <row r="564" spans="4:5" ht="15.75" customHeight="1" x14ac:dyDescent="0.25">
      <c r="D564" s="36"/>
      <c r="E564" s="37"/>
    </row>
    <row r="565" spans="4:5" ht="15.75" customHeight="1" x14ac:dyDescent="0.25">
      <c r="D565" s="36"/>
      <c r="E565" s="37"/>
    </row>
    <row r="566" spans="4:5" ht="15.75" customHeight="1" x14ac:dyDescent="0.25">
      <c r="D566" s="36"/>
      <c r="E566" s="37"/>
    </row>
    <row r="567" spans="4:5" ht="15.75" customHeight="1" x14ac:dyDescent="0.25">
      <c r="D567" s="36"/>
      <c r="E567" s="37"/>
    </row>
    <row r="568" spans="4:5" ht="15.75" customHeight="1" x14ac:dyDescent="0.25">
      <c r="D568" s="36"/>
      <c r="E568" s="37"/>
    </row>
    <row r="569" spans="4:5" ht="15.75" customHeight="1" x14ac:dyDescent="0.25">
      <c r="D569" s="36"/>
      <c r="E569" s="37"/>
    </row>
    <row r="570" spans="4:5" ht="15.75" customHeight="1" x14ac:dyDescent="0.25">
      <c r="D570" s="36"/>
      <c r="E570" s="37"/>
    </row>
    <row r="571" spans="4:5" ht="15.75" customHeight="1" x14ac:dyDescent="0.25">
      <c r="D571" s="36"/>
      <c r="E571" s="37"/>
    </row>
    <row r="572" spans="4:5" ht="15.75" customHeight="1" x14ac:dyDescent="0.25">
      <c r="D572" s="36"/>
      <c r="E572" s="37"/>
    </row>
    <row r="573" spans="4:5" ht="15.75" customHeight="1" x14ac:dyDescent="0.25">
      <c r="D573" s="36"/>
      <c r="E573" s="37"/>
    </row>
    <row r="574" spans="4:5" ht="15.75" customHeight="1" x14ac:dyDescent="0.25">
      <c r="D574" s="36"/>
      <c r="E574" s="37"/>
    </row>
    <row r="575" spans="4:5" ht="15.75" customHeight="1" x14ac:dyDescent="0.25">
      <c r="D575" s="36"/>
      <c r="E575" s="37"/>
    </row>
    <row r="576" spans="4:5" ht="15.75" customHeight="1" x14ac:dyDescent="0.25">
      <c r="D576" s="36"/>
      <c r="E576" s="37"/>
    </row>
    <row r="577" spans="4:5" ht="15.75" customHeight="1" x14ac:dyDescent="0.25">
      <c r="D577" s="36"/>
      <c r="E577" s="37"/>
    </row>
    <row r="578" spans="4:5" ht="15.75" customHeight="1" x14ac:dyDescent="0.25">
      <c r="D578" s="36"/>
      <c r="E578" s="37"/>
    </row>
    <row r="579" spans="4:5" ht="15.75" customHeight="1" x14ac:dyDescent="0.25">
      <c r="D579" s="36"/>
      <c r="E579" s="37"/>
    </row>
    <row r="580" spans="4:5" ht="15.75" customHeight="1" x14ac:dyDescent="0.25">
      <c r="D580" s="36"/>
      <c r="E580" s="37"/>
    </row>
    <row r="581" spans="4:5" ht="15.75" customHeight="1" x14ac:dyDescent="0.25">
      <c r="D581" s="36"/>
      <c r="E581" s="37"/>
    </row>
    <row r="582" spans="4:5" ht="15.75" customHeight="1" x14ac:dyDescent="0.25">
      <c r="D582" s="36"/>
      <c r="E582" s="37"/>
    </row>
    <row r="583" spans="4:5" ht="15.75" customHeight="1" x14ac:dyDescent="0.25">
      <c r="D583" s="36"/>
      <c r="E583" s="37"/>
    </row>
    <row r="584" spans="4:5" ht="15.75" customHeight="1" x14ac:dyDescent="0.25">
      <c r="D584" s="36"/>
      <c r="E584" s="37"/>
    </row>
    <row r="585" spans="4:5" ht="15.75" customHeight="1" x14ac:dyDescent="0.25">
      <c r="D585" s="36"/>
      <c r="E585" s="37"/>
    </row>
    <row r="586" spans="4:5" ht="15.75" customHeight="1" x14ac:dyDescent="0.25">
      <c r="D586" s="36"/>
      <c r="E586" s="37"/>
    </row>
    <row r="587" spans="4:5" ht="15.75" customHeight="1" x14ac:dyDescent="0.25">
      <c r="D587" s="36"/>
      <c r="E587" s="37"/>
    </row>
    <row r="588" spans="4:5" ht="15.75" customHeight="1" x14ac:dyDescent="0.25">
      <c r="D588" s="36"/>
      <c r="E588" s="37"/>
    </row>
    <row r="589" spans="4:5" ht="15.75" customHeight="1" x14ac:dyDescent="0.25">
      <c r="D589" s="36"/>
      <c r="E589" s="37"/>
    </row>
    <row r="590" spans="4:5" ht="15.75" customHeight="1" x14ac:dyDescent="0.25">
      <c r="D590" s="36"/>
      <c r="E590" s="37"/>
    </row>
    <row r="591" spans="4:5" ht="15.75" customHeight="1" x14ac:dyDescent="0.25">
      <c r="D591" s="36"/>
      <c r="E591" s="37"/>
    </row>
    <row r="592" spans="4:5" ht="15.75" customHeight="1" x14ac:dyDescent="0.25">
      <c r="D592" s="36"/>
      <c r="E592" s="37"/>
    </row>
    <row r="593" spans="4:5" ht="15.75" customHeight="1" x14ac:dyDescent="0.25">
      <c r="D593" s="36"/>
      <c r="E593" s="37"/>
    </row>
    <row r="594" spans="4:5" ht="15.75" customHeight="1" x14ac:dyDescent="0.25">
      <c r="D594" s="36"/>
      <c r="E594" s="37"/>
    </row>
    <row r="595" spans="4:5" ht="15.75" customHeight="1" x14ac:dyDescent="0.25">
      <c r="D595" s="36"/>
      <c r="E595" s="37"/>
    </row>
    <row r="596" spans="4:5" ht="15.75" customHeight="1" x14ac:dyDescent="0.25">
      <c r="D596" s="36"/>
      <c r="E596" s="37"/>
    </row>
    <row r="597" spans="4:5" ht="15.75" customHeight="1" x14ac:dyDescent="0.25">
      <c r="D597" s="36"/>
      <c r="E597" s="37"/>
    </row>
    <row r="598" spans="4:5" ht="15.75" customHeight="1" x14ac:dyDescent="0.25">
      <c r="D598" s="36"/>
      <c r="E598" s="37"/>
    </row>
    <row r="599" spans="4:5" ht="15.75" customHeight="1" x14ac:dyDescent="0.25">
      <c r="D599" s="36"/>
      <c r="E599" s="37"/>
    </row>
    <row r="600" spans="4:5" ht="15.75" customHeight="1" x14ac:dyDescent="0.25">
      <c r="D600" s="36"/>
      <c r="E600" s="37"/>
    </row>
    <row r="601" spans="4:5" ht="15.75" customHeight="1" x14ac:dyDescent="0.25">
      <c r="D601" s="36"/>
      <c r="E601" s="37"/>
    </row>
    <row r="602" spans="4:5" ht="15.75" customHeight="1" x14ac:dyDescent="0.25">
      <c r="D602" s="36"/>
      <c r="E602" s="37"/>
    </row>
    <row r="603" spans="4:5" ht="15.75" customHeight="1" x14ac:dyDescent="0.25">
      <c r="D603" s="36"/>
      <c r="E603" s="37"/>
    </row>
    <row r="604" spans="4:5" ht="15.75" customHeight="1" x14ac:dyDescent="0.25">
      <c r="D604" s="36"/>
      <c r="E604" s="37"/>
    </row>
    <row r="605" spans="4:5" ht="15.75" customHeight="1" x14ac:dyDescent="0.25">
      <c r="D605" s="36"/>
      <c r="E605" s="37"/>
    </row>
    <row r="606" spans="4:5" ht="15.75" customHeight="1" x14ac:dyDescent="0.25">
      <c r="D606" s="36"/>
      <c r="E606" s="37"/>
    </row>
    <row r="607" spans="4:5" ht="15.75" customHeight="1" x14ac:dyDescent="0.25">
      <c r="D607" s="36"/>
      <c r="E607" s="37"/>
    </row>
    <row r="608" spans="4:5" ht="15.75" customHeight="1" x14ac:dyDescent="0.25">
      <c r="D608" s="36"/>
      <c r="E608" s="37"/>
    </row>
    <row r="609" spans="4:5" ht="15.75" customHeight="1" x14ac:dyDescent="0.25">
      <c r="D609" s="36"/>
      <c r="E609" s="37"/>
    </row>
    <row r="610" spans="4:5" ht="15.75" customHeight="1" x14ac:dyDescent="0.25">
      <c r="D610" s="36"/>
      <c r="E610" s="37"/>
    </row>
    <row r="611" spans="4:5" ht="15.75" customHeight="1" x14ac:dyDescent="0.25">
      <c r="D611" s="36"/>
      <c r="E611" s="37"/>
    </row>
    <row r="612" spans="4:5" ht="15.75" customHeight="1" x14ac:dyDescent="0.25">
      <c r="D612" s="36"/>
      <c r="E612" s="37"/>
    </row>
    <row r="613" spans="4:5" ht="15.75" customHeight="1" x14ac:dyDescent="0.25">
      <c r="D613" s="36"/>
      <c r="E613" s="37"/>
    </row>
    <row r="614" spans="4:5" ht="15.75" customHeight="1" x14ac:dyDescent="0.25">
      <c r="D614" s="36"/>
      <c r="E614" s="37"/>
    </row>
    <row r="615" spans="4:5" ht="15.75" customHeight="1" x14ac:dyDescent="0.25">
      <c r="D615" s="36"/>
      <c r="E615" s="37"/>
    </row>
    <row r="616" spans="4:5" ht="15.75" customHeight="1" x14ac:dyDescent="0.25">
      <c r="D616" s="36"/>
      <c r="E616" s="37"/>
    </row>
    <row r="617" spans="4:5" ht="15.75" customHeight="1" x14ac:dyDescent="0.25">
      <c r="D617" s="36"/>
      <c r="E617" s="37"/>
    </row>
    <row r="618" spans="4:5" ht="15.75" customHeight="1" x14ac:dyDescent="0.25">
      <c r="D618" s="36"/>
      <c r="E618" s="37"/>
    </row>
    <row r="619" spans="4:5" ht="15.75" customHeight="1" x14ac:dyDescent="0.25">
      <c r="D619" s="36"/>
      <c r="E619" s="37"/>
    </row>
    <row r="620" spans="4:5" ht="15.75" customHeight="1" x14ac:dyDescent="0.25">
      <c r="D620" s="36"/>
      <c r="E620" s="37"/>
    </row>
    <row r="621" spans="4:5" ht="15.75" customHeight="1" x14ac:dyDescent="0.25">
      <c r="D621" s="36"/>
      <c r="E621" s="37"/>
    </row>
    <row r="622" spans="4:5" ht="15.75" customHeight="1" x14ac:dyDescent="0.25">
      <c r="D622" s="36"/>
      <c r="E622" s="37"/>
    </row>
    <row r="623" spans="4:5" ht="15.75" customHeight="1" x14ac:dyDescent="0.25">
      <c r="D623" s="36"/>
      <c r="E623" s="37"/>
    </row>
    <row r="624" spans="4:5" ht="15.75" customHeight="1" x14ac:dyDescent="0.25">
      <c r="D624" s="36"/>
      <c r="E624" s="37"/>
    </row>
    <row r="625" spans="4:5" ht="15.75" customHeight="1" x14ac:dyDescent="0.25">
      <c r="D625" s="36"/>
      <c r="E625" s="37"/>
    </row>
    <row r="626" spans="4:5" ht="15.75" customHeight="1" x14ac:dyDescent="0.25">
      <c r="D626" s="36"/>
      <c r="E626" s="37"/>
    </row>
    <row r="627" spans="4:5" ht="15.75" customHeight="1" x14ac:dyDescent="0.25">
      <c r="D627" s="36"/>
      <c r="E627" s="37"/>
    </row>
    <row r="628" spans="4:5" ht="15.75" customHeight="1" x14ac:dyDescent="0.25">
      <c r="D628" s="36"/>
      <c r="E628" s="37"/>
    </row>
    <row r="629" spans="4:5" ht="15.75" customHeight="1" x14ac:dyDescent="0.25">
      <c r="D629" s="36"/>
      <c r="E629" s="37"/>
    </row>
    <row r="630" spans="4:5" ht="15.75" customHeight="1" x14ac:dyDescent="0.25">
      <c r="D630" s="36"/>
      <c r="E630" s="37"/>
    </row>
    <row r="631" spans="4:5" ht="15.75" customHeight="1" x14ac:dyDescent="0.25">
      <c r="D631" s="36"/>
      <c r="E631" s="37"/>
    </row>
    <row r="632" spans="4:5" ht="15.75" customHeight="1" x14ac:dyDescent="0.25">
      <c r="D632" s="36"/>
      <c r="E632" s="37"/>
    </row>
    <row r="633" spans="4:5" ht="15.75" customHeight="1" x14ac:dyDescent="0.25">
      <c r="D633" s="36"/>
      <c r="E633" s="37"/>
    </row>
    <row r="634" spans="4:5" ht="15.75" customHeight="1" x14ac:dyDescent="0.25">
      <c r="D634" s="36"/>
      <c r="E634" s="37"/>
    </row>
    <row r="635" spans="4:5" ht="15.75" customHeight="1" x14ac:dyDescent="0.25">
      <c r="D635" s="36"/>
      <c r="E635" s="37"/>
    </row>
    <row r="636" spans="4:5" ht="15.75" customHeight="1" x14ac:dyDescent="0.25">
      <c r="D636" s="36"/>
      <c r="E636" s="37"/>
    </row>
    <row r="637" spans="4:5" ht="15.75" customHeight="1" x14ac:dyDescent="0.25">
      <c r="D637" s="36"/>
      <c r="E637" s="37"/>
    </row>
    <row r="638" spans="4:5" ht="15.75" customHeight="1" x14ac:dyDescent="0.25">
      <c r="D638" s="36"/>
      <c r="E638" s="37"/>
    </row>
    <row r="639" spans="4:5" ht="15.75" customHeight="1" x14ac:dyDescent="0.25">
      <c r="D639" s="36"/>
      <c r="E639" s="37"/>
    </row>
    <row r="640" spans="4:5" ht="15.75" customHeight="1" x14ac:dyDescent="0.25">
      <c r="D640" s="36"/>
      <c r="E640" s="37"/>
    </row>
    <row r="641" spans="4:5" ht="15.75" customHeight="1" x14ac:dyDescent="0.25">
      <c r="D641" s="36"/>
      <c r="E641" s="37"/>
    </row>
    <row r="642" spans="4:5" ht="15.75" customHeight="1" x14ac:dyDescent="0.25">
      <c r="D642" s="36"/>
      <c r="E642" s="37"/>
    </row>
    <row r="643" spans="4:5" ht="15.75" customHeight="1" x14ac:dyDescent="0.25">
      <c r="D643" s="36"/>
      <c r="E643" s="37"/>
    </row>
    <row r="644" spans="4:5" ht="15.75" customHeight="1" x14ac:dyDescent="0.25">
      <c r="D644" s="36"/>
      <c r="E644" s="37"/>
    </row>
    <row r="645" spans="4:5" ht="15.75" customHeight="1" x14ac:dyDescent="0.25">
      <c r="D645" s="36"/>
      <c r="E645" s="37"/>
    </row>
    <row r="646" spans="4:5" ht="15.75" customHeight="1" x14ac:dyDescent="0.25">
      <c r="D646" s="36"/>
      <c r="E646" s="37"/>
    </row>
    <row r="647" spans="4:5" ht="15.75" customHeight="1" x14ac:dyDescent="0.25">
      <c r="D647" s="36"/>
      <c r="E647" s="37"/>
    </row>
    <row r="648" spans="4:5" ht="15.75" customHeight="1" x14ac:dyDescent="0.25">
      <c r="D648" s="36"/>
      <c r="E648" s="37"/>
    </row>
    <row r="649" spans="4:5" ht="15.75" customHeight="1" x14ac:dyDescent="0.25">
      <c r="D649" s="36"/>
      <c r="E649" s="37"/>
    </row>
    <row r="650" spans="4:5" ht="15.75" customHeight="1" x14ac:dyDescent="0.25">
      <c r="D650" s="36"/>
      <c r="E650" s="37"/>
    </row>
    <row r="651" spans="4:5" ht="15.75" customHeight="1" x14ac:dyDescent="0.25">
      <c r="D651" s="36"/>
      <c r="E651" s="37"/>
    </row>
    <row r="652" spans="4:5" ht="15.75" customHeight="1" x14ac:dyDescent="0.25">
      <c r="D652" s="36"/>
      <c r="E652" s="37"/>
    </row>
    <row r="653" spans="4:5" ht="15.75" customHeight="1" x14ac:dyDescent="0.25">
      <c r="D653" s="36"/>
      <c r="E653" s="37"/>
    </row>
    <row r="654" spans="4:5" ht="15.75" customHeight="1" x14ac:dyDescent="0.25">
      <c r="D654" s="36"/>
      <c r="E654" s="37"/>
    </row>
    <row r="655" spans="4:5" ht="15.75" customHeight="1" x14ac:dyDescent="0.25">
      <c r="D655" s="36"/>
      <c r="E655" s="37"/>
    </row>
    <row r="656" spans="4:5" ht="15.75" customHeight="1" x14ac:dyDescent="0.25">
      <c r="D656" s="36"/>
      <c r="E656" s="37"/>
    </row>
    <row r="657" spans="4:5" ht="15.75" customHeight="1" x14ac:dyDescent="0.25">
      <c r="D657" s="36"/>
      <c r="E657" s="37"/>
    </row>
    <row r="658" spans="4:5" ht="15.75" customHeight="1" x14ac:dyDescent="0.25">
      <c r="D658" s="36"/>
      <c r="E658" s="37"/>
    </row>
    <row r="659" spans="4:5" ht="15.75" customHeight="1" x14ac:dyDescent="0.25">
      <c r="D659" s="36"/>
      <c r="E659" s="37"/>
    </row>
    <row r="660" spans="4:5" ht="15.75" customHeight="1" x14ac:dyDescent="0.25">
      <c r="D660" s="36"/>
      <c r="E660" s="37"/>
    </row>
    <row r="661" spans="4:5" ht="15.75" customHeight="1" x14ac:dyDescent="0.25">
      <c r="D661" s="36"/>
      <c r="E661" s="37"/>
    </row>
    <row r="662" spans="4:5" ht="15.75" customHeight="1" x14ac:dyDescent="0.25">
      <c r="D662" s="36"/>
      <c r="E662" s="37"/>
    </row>
    <row r="663" spans="4:5" ht="15.75" customHeight="1" x14ac:dyDescent="0.25">
      <c r="D663" s="36"/>
      <c r="E663" s="37"/>
    </row>
    <row r="664" spans="4:5" ht="15.75" customHeight="1" x14ac:dyDescent="0.25">
      <c r="D664" s="36"/>
      <c r="E664" s="37"/>
    </row>
    <row r="665" spans="4:5" ht="15.75" customHeight="1" x14ac:dyDescent="0.25">
      <c r="D665" s="36"/>
      <c r="E665" s="37"/>
    </row>
    <row r="666" spans="4:5" ht="15.75" customHeight="1" x14ac:dyDescent="0.25">
      <c r="D666" s="36"/>
      <c r="E666" s="37"/>
    </row>
    <row r="667" spans="4:5" ht="15.75" customHeight="1" x14ac:dyDescent="0.25">
      <c r="D667" s="36"/>
      <c r="E667" s="37"/>
    </row>
    <row r="668" spans="4:5" ht="15.75" customHeight="1" x14ac:dyDescent="0.25">
      <c r="D668" s="36"/>
      <c r="E668" s="37"/>
    </row>
    <row r="669" spans="4:5" ht="15.75" customHeight="1" x14ac:dyDescent="0.25">
      <c r="D669" s="36"/>
      <c r="E669" s="37"/>
    </row>
    <row r="670" spans="4:5" ht="15.75" customHeight="1" x14ac:dyDescent="0.25">
      <c r="D670" s="36"/>
      <c r="E670" s="37"/>
    </row>
    <row r="671" spans="4:5" ht="15.75" customHeight="1" x14ac:dyDescent="0.25">
      <c r="D671" s="36"/>
      <c r="E671" s="37"/>
    </row>
    <row r="672" spans="4:5" ht="15.75" customHeight="1" x14ac:dyDescent="0.25">
      <c r="D672" s="36"/>
      <c r="E672" s="37"/>
    </row>
    <row r="673" spans="4:5" ht="15.75" customHeight="1" x14ac:dyDescent="0.25">
      <c r="D673" s="36"/>
      <c r="E673" s="37"/>
    </row>
    <row r="674" spans="4:5" ht="15.75" customHeight="1" x14ac:dyDescent="0.25">
      <c r="D674" s="36"/>
      <c r="E674" s="37"/>
    </row>
    <row r="675" spans="4:5" ht="15.75" customHeight="1" x14ac:dyDescent="0.25">
      <c r="D675" s="36"/>
      <c r="E675" s="37"/>
    </row>
    <row r="676" spans="4:5" ht="15.75" customHeight="1" x14ac:dyDescent="0.25">
      <c r="D676" s="36"/>
      <c r="E676" s="37"/>
    </row>
    <row r="677" spans="4:5" ht="15.75" customHeight="1" x14ac:dyDescent="0.25">
      <c r="D677" s="36"/>
      <c r="E677" s="37"/>
    </row>
    <row r="678" spans="4:5" ht="15.75" customHeight="1" x14ac:dyDescent="0.25">
      <c r="D678" s="36"/>
      <c r="E678" s="37"/>
    </row>
    <row r="679" spans="4:5" ht="15.75" customHeight="1" x14ac:dyDescent="0.25">
      <c r="D679" s="36"/>
      <c r="E679" s="37"/>
    </row>
    <row r="680" spans="4:5" ht="15.75" customHeight="1" x14ac:dyDescent="0.25">
      <c r="D680" s="36"/>
      <c r="E680" s="37"/>
    </row>
    <row r="681" spans="4:5" ht="15.75" customHeight="1" x14ac:dyDescent="0.25">
      <c r="D681" s="36"/>
      <c r="E681" s="37"/>
    </row>
    <row r="682" spans="4:5" ht="15.75" customHeight="1" x14ac:dyDescent="0.25">
      <c r="D682" s="36"/>
      <c r="E682" s="37"/>
    </row>
    <row r="683" spans="4:5" ht="15.75" customHeight="1" x14ac:dyDescent="0.25">
      <c r="D683" s="36"/>
      <c r="E683" s="37"/>
    </row>
    <row r="684" spans="4:5" ht="15.75" customHeight="1" x14ac:dyDescent="0.25">
      <c r="D684" s="36"/>
      <c r="E684" s="37"/>
    </row>
    <row r="685" spans="4:5" ht="15.75" customHeight="1" x14ac:dyDescent="0.25">
      <c r="D685" s="36"/>
      <c r="E685" s="37"/>
    </row>
    <row r="686" spans="4:5" ht="15.75" customHeight="1" x14ac:dyDescent="0.25">
      <c r="D686" s="36"/>
      <c r="E686" s="37"/>
    </row>
    <row r="687" spans="4:5" ht="15.75" customHeight="1" x14ac:dyDescent="0.25">
      <c r="D687" s="36"/>
      <c r="E687" s="37"/>
    </row>
    <row r="688" spans="4:5" ht="15.75" customHeight="1" x14ac:dyDescent="0.25">
      <c r="D688" s="36"/>
      <c r="E688" s="37"/>
    </row>
    <row r="689" spans="4:5" ht="15.75" customHeight="1" x14ac:dyDescent="0.25">
      <c r="D689" s="36"/>
      <c r="E689" s="37"/>
    </row>
    <row r="690" spans="4:5" ht="15.75" customHeight="1" x14ac:dyDescent="0.25">
      <c r="D690" s="36"/>
      <c r="E690" s="37"/>
    </row>
    <row r="691" spans="4:5" ht="15.75" customHeight="1" x14ac:dyDescent="0.25">
      <c r="D691" s="36"/>
      <c r="E691" s="37"/>
    </row>
    <row r="692" spans="4:5" ht="15.75" customHeight="1" x14ac:dyDescent="0.25">
      <c r="D692" s="36"/>
      <c r="E692" s="37"/>
    </row>
    <row r="693" spans="4:5" ht="15.75" customHeight="1" x14ac:dyDescent="0.25">
      <c r="D693" s="36"/>
      <c r="E693" s="37"/>
    </row>
    <row r="694" spans="4:5" ht="15.75" customHeight="1" x14ac:dyDescent="0.25">
      <c r="D694" s="36"/>
      <c r="E694" s="37"/>
    </row>
    <row r="695" spans="4:5" ht="15.75" customHeight="1" x14ac:dyDescent="0.25">
      <c r="D695" s="36"/>
      <c r="E695" s="37"/>
    </row>
    <row r="696" spans="4:5" ht="15.75" customHeight="1" x14ac:dyDescent="0.25">
      <c r="D696" s="36"/>
      <c r="E696" s="37"/>
    </row>
    <row r="697" spans="4:5" ht="15.75" customHeight="1" x14ac:dyDescent="0.25">
      <c r="D697" s="36"/>
      <c r="E697" s="37"/>
    </row>
    <row r="698" spans="4:5" ht="15.75" customHeight="1" x14ac:dyDescent="0.25">
      <c r="D698" s="36"/>
      <c r="E698" s="37"/>
    </row>
    <row r="699" spans="4:5" ht="15.75" customHeight="1" x14ac:dyDescent="0.25">
      <c r="D699" s="36"/>
      <c r="E699" s="37"/>
    </row>
    <row r="700" spans="4:5" ht="15.75" customHeight="1" x14ac:dyDescent="0.25">
      <c r="D700" s="36"/>
      <c r="E700" s="37"/>
    </row>
    <row r="701" spans="4:5" ht="15.75" customHeight="1" x14ac:dyDescent="0.25">
      <c r="D701" s="36"/>
      <c r="E701" s="37"/>
    </row>
    <row r="702" spans="4:5" ht="15.75" customHeight="1" x14ac:dyDescent="0.25">
      <c r="D702" s="36"/>
      <c r="E702" s="37"/>
    </row>
    <row r="703" spans="4:5" ht="15.75" customHeight="1" x14ac:dyDescent="0.25">
      <c r="D703" s="36"/>
      <c r="E703" s="37"/>
    </row>
    <row r="704" spans="4:5" ht="15.75" customHeight="1" x14ac:dyDescent="0.25">
      <c r="D704" s="36"/>
      <c r="E704" s="37"/>
    </row>
    <row r="705" spans="4:5" ht="15.75" customHeight="1" x14ac:dyDescent="0.25">
      <c r="D705" s="36"/>
      <c r="E705" s="37"/>
    </row>
    <row r="706" spans="4:5" ht="15.75" customHeight="1" x14ac:dyDescent="0.25">
      <c r="D706" s="36"/>
      <c r="E706" s="37"/>
    </row>
    <row r="707" spans="4:5" ht="15.75" customHeight="1" x14ac:dyDescent="0.25">
      <c r="D707" s="36"/>
      <c r="E707" s="37"/>
    </row>
    <row r="708" spans="4:5" ht="15.75" customHeight="1" x14ac:dyDescent="0.25">
      <c r="D708" s="36"/>
      <c r="E708" s="37"/>
    </row>
    <row r="709" spans="4:5" ht="15.75" customHeight="1" x14ac:dyDescent="0.25">
      <c r="D709" s="36"/>
      <c r="E709" s="37"/>
    </row>
    <row r="710" spans="4:5" ht="15.75" customHeight="1" x14ac:dyDescent="0.25">
      <c r="D710" s="36"/>
      <c r="E710" s="37"/>
    </row>
    <row r="711" spans="4:5" ht="15.75" customHeight="1" x14ac:dyDescent="0.25">
      <c r="D711" s="36"/>
      <c r="E711" s="37"/>
    </row>
    <row r="712" spans="4:5" ht="15.75" customHeight="1" x14ac:dyDescent="0.25">
      <c r="D712" s="36"/>
      <c r="E712" s="37"/>
    </row>
    <row r="713" spans="4:5" ht="15.75" customHeight="1" x14ac:dyDescent="0.25">
      <c r="D713" s="36"/>
      <c r="E713" s="37"/>
    </row>
    <row r="714" spans="4:5" ht="15.75" customHeight="1" x14ac:dyDescent="0.25">
      <c r="D714" s="36"/>
      <c r="E714" s="37"/>
    </row>
    <row r="715" spans="4:5" ht="15.75" customHeight="1" x14ac:dyDescent="0.25">
      <c r="D715" s="36"/>
      <c r="E715" s="37"/>
    </row>
    <row r="716" spans="4:5" ht="15.75" customHeight="1" x14ac:dyDescent="0.25">
      <c r="D716" s="36"/>
      <c r="E716" s="37"/>
    </row>
    <row r="717" spans="4:5" ht="15.75" customHeight="1" x14ac:dyDescent="0.25">
      <c r="D717" s="36"/>
      <c r="E717" s="37"/>
    </row>
    <row r="718" spans="4:5" ht="15.75" customHeight="1" x14ac:dyDescent="0.25">
      <c r="D718" s="36"/>
      <c r="E718" s="37"/>
    </row>
    <row r="719" spans="4:5" ht="15.75" customHeight="1" x14ac:dyDescent="0.25">
      <c r="D719" s="36"/>
      <c r="E719" s="37"/>
    </row>
    <row r="720" spans="4:5" ht="15.75" customHeight="1" x14ac:dyDescent="0.25">
      <c r="D720" s="36"/>
      <c r="E720" s="37"/>
    </row>
    <row r="721" spans="4:5" ht="15.75" customHeight="1" x14ac:dyDescent="0.25">
      <c r="D721" s="36"/>
      <c r="E721" s="37"/>
    </row>
    <row r="722" spans="4:5" ht="15.75" customHeight="1" x14ac:dyDescent="0.25">
      <c r="D722" s="36"/>
      <c r="E722" s="37"/>
    </row>
    <row r="723" spans="4:5" ht="15.75" customHeight="1" x14ac:dyDescent="0.25">
      <c r="D723" s="36"/>
      <c r="E723" s="37"/>
    </row>
    <row r="724" spans="4:5" ht="15.75" customHeight="1" x14ac:dyDescent="0.25">
      <c r="D724" s="36"/>
      <c r="E724" s="37"/>
    </row>
    <row r="725" spans="4:5" ht="15.75" customHeight="1" x14ac:dyDescent="0.25">
      <c r="D725" s="36"/>
      <c r="E725" s="37"/>
    </row>
    <row r="726" spans="4:5" ht="15.75" customHeight="1" x14ac:dyDescent="0.25">
      <c r="D726" s="36"/>
      <c r="E726" s="37"/>
    </row>
    <row r="727" spans="4:5" ht="15.75" customHeight="1" x14ac:dyDescent="0.25">
      <c r="D727" s="36"/>
      <c r="E727" s="37"/>
    </row>
    <row r="728" spans="4:5" ht="15.75" customHeight="1" x14ac:dyDescent="0.25">
      <c r="D728" s="36"/>
      <c r="E728" s="37"/>
    </row>
    <row r="729" spans="4:5" ht="15.75" customHeight="1" x14ac:dyDescent="0.25">
      <c r="D729" s="36"/>
      <c r="E729" s="37"/>
    </row>
    <row r="730" spans="4:5" ht="15.75" customHeight="1" x14ac:dyDescent="0.25">
      <c r="D730" s="36"/>
      <c r="E730" s="37"/>
    </row>
    <row r="731" spans="4:5" ht="15.75" customHeight="1" x14ac:dyDescent="0.25">
      <c r="D731" s="36"/>
      <c r="E731" s="37"/>
    </row>
    <row r="732" spans="4:5" ht="15.75" customHeight="1" x14ac:dyDescent="0.25">
      <c r="D732" s="36"/>
      <c r="E732" s="37"/>
    </row>
    <row r="733" spans="4:5" ht="15.75" customHeight="1" x14ac:dyDescent="0.25">
      <c r="D733" s="36"/>
      <c r="E733" s="37"/>
    </row>
    <row r="734" spans="4:5" ht="15.75" customHeight="1" x14ac:dyDescent="0.25">
      <c r="D734" s="36"/>
      <c r="E734" s="37"/>
    </row>
    <row r="735" spans="4:5" ht="15.75" customHeight="1" x14ac:dyDescent="0.25">
      <c r="D735" s="36"/>
      <c r="E735" s="37"/>
    </row>
    <row r="736" spans="4:5" ht="15.75" customHeight="1" x14ac:dyDescent="0.25">
      <c r="D736" s="36"/>
      <c r="E736" s="37"/>
    </row>
    <row r="737" spans="4:5" ht="15.75" customHeight="1" x14ac:dyDescent="0.25">
      <c r="D737" s="36"/>
      <c r="E737" s="37"/>
    </row>
    <row r="738" spans="4:5" ht="15.75" customHeight="1" x14ac:dyDescent="0.25">
      <c r="D738" s="36"/>
      <c r="E738" s="37"/>
    </row>
    <row r="739" spans="4:5" ht="15.75" customHeight="1" x14ac:dyDescent="0.25">
      <c r="D739" s="36"/>
      <c r="E739" s="37"/>
    </row>
    <row r="740" spans="4:5" ht="15.75" customHeight="1" x14ac:dyDescent="0.25">
      <c r="D740" s="36"/>
      <c r="E740" s="37"/>
    </row>
    <row r="741" spans="4:5" ht="15.75" customHeight="1" x14ac:dyDescent="0.25">
      <c r="D741" s="36"/>
      <c r="E741" s="37"/>
    </row>
    <row r="742" spans="4:5" ht="15.75" customHeight="1" x14ac:dyDescent="0.25">
      <c r="D742" s="36"/>
      <c r="E742" s="37"/>
    </row>
    <row r="743" spans="4:5" ht="15.75" customHeight="1" x14ac:dyDescent="0.25">
      <c r="D743" s="36"/>
      <c r="E743" s="37"/>
    </row>
    <row r="744" spans="4:5" ht="15.75" customHeight="1" x14ac:dyDescent="0.25">
      <c r="D744" s="36"/>
      <c r="E744" s="37"/>
    </row>
    <row r="745" spans="4:5" ht="15.75" customHeight="1" x14ac:dyDescent="0.25">
      <c r="D745" s="36"/>
      <c r="E745" s="37"/>
    </row>
    <row r="746" spans="4:5" ht="15.75" customHeight="1" x14ac:dyDescent="0.25">
      <c r="D746" s="36"/>
      <c r="E746" s="37"/>
    </row>
    <row r="747" spans="4:5" ht="15.75" customHeight="1" x14ac:dyDescent="0.25">
      <c r="D747" s="36"/>
      <c r="E747" s="37"/>
    </row>
    <row r="748" spans="4:5" ht="15.75" customHeight="1" x14ac:dyDescent="0.25">
      <c r="D748" s="36"/>
      <c r="E748" s="37"/>
    </row>
    <row r="749" spans="4:5" ht="15.75" customHeight="1" x14ac:dyDescent="0.25">
      <c r="D749" s="36"/>
      <c r="E749" s="37"/>
    </row>
    <row r="750" spans="4:5" ht="15.75" customHeight="1" x14ac:dyDescent="0.25">
      <c r="D750" s="36"/>
      <c r="E750" s="37"/>
    </row>
    <row r="751" spans="4:5" ht="15.75" customHeight="1" x14ac:dyDescent="0.25">
      <c r="D751" s="36"/>
      <c r="E751" s="37"/>
    </row>
    <row r="752" spans="4:5" ht="15.75" customHeight="1" x14ac:dyDescent="0.25">
      <c r="D752" s="36"/>
      <c r="E752" s="37"/>
    </row>
    <row r="753" spans="4:5" ht="15.75" customHeight="1" x14ac:dyDescent="0.25">
      <c r="D753" s="36"/>
      <c r="E753" s="37"/>
    </row>
    <row r="754" spans="4:5" ht="15.75" customHeight="1" x14ac:dyDescent="0.25">
      <c r="D754" s="36"/>
      <c r="E754" s="37"/>
    </row>
    <row r="755" spans="4:5" ht="15.75" customHeight="1" x14ac:dyDescent="0.25">
      <c r="D755" s="36"/>
      <c r="E755" s="37"/>
    </row>
    <row r="756" spans="4:5" ht="15.75" customHeight="1" x14ac:dyDescent="0.25">
      <c r="D756" s="36"/>
      <c r="E756" s="37"/>
    </row>
    <row r="757" spans="4:5" ht="15.75" customHeight="1" x14ac:dyDescent="0.25">
      <c r="D757" s="36"/>
      <c r="E757" s="37"/>
    </row>
    <row r="758" spans="4:5" ht="15.75" customHeight="1" x14ac:dyDescent="0.25">
      <c r="D758" s="36"/>
      <c r="E758" s="37"/>
    </row>
    <row r="759" spans="4:5" ht="15.75" customHeight="1" x14ac:dyDescent="0.25">
      <c r="D759" s="36"/>
      <c r="E759" s="37"/>
    </row>
    <row r="760" spans="4:5" ht="15.75" customHeight="1" x14ac:dyDescent="0.25">
      <c r="D760" s="36"/>
      <c r="E760" s="37"/>
    </row>
    <row r="761" spans="4:5" ht="15.75" customHeight="1" x14ac:dyDescent="0.25">
      <c r="D761" s="36"/>
      <c r="E761" s="37"/>
    </row>
    <row r="762" spans="4:5" ht="15.75" customHeight="1" x14ac:dyDescent="0.25">
      <c r="D762" s="36"/>
      <c r="E762" s="37"/>
    </row>
    <row r="763" spans="4:5" ht="15.75" customHeight="1" x14ac:dyDescent="0.25">
      <c r="D763" s="36"/>
      <c r="E763" s="37"/>
    </row>
    <row r="764" spans="4:5" ht="15.75" customHeight="1" x14ac:dyDescent="0.25">
      <c r="D764" s="36"/>
      <c r="E764" s="37"/>
    </row>
    <row r="765" spans="4:5" ht="15.75" customHeight="1" x14ac:dyDescent="0.25">
      <c r="D765" s="36"/>
      <c r="E765" s="37"/>
    </row>
    <row r="766" spans="4:5" ht="15.75" customHeight="1" x14ac:dyDescent="0.25">
      <c r="D766" s="36"/>
      <c r="E766" s="37"/>
    </row>
    <row r="767" spans="4:5" ht="15.75" customHeight="1" x14ac:dyDescent="0.25">
      <c r="D767" s="36"/>
      <c r="E767" s="37"/>
    </row>
    <row r="768" spans="4:5" ht="15.75" customHeight="1" x14ac:dyDescent="0.25">
      <c r="D768" s="36"/>
      <c r="E768" s="37"/>
    </row>
    <row r="769" spans="4:5" ht="15.75" customHeight="1" x14ac:dyDescent="0.25">
      <c r="D769" s="36"/>
      <c r="E769" s="37"/>
    </row>
    <row r="770" spans="4:5" ht="15.75" customHeight="1" x14ac:dyDescent="0.25">
      <c r="D770" s="36"/>
      <c r="E770" s="37"/>
    </row>
    <row r="771" spans="4:5" ht="15.75" customHeight="1" x14ac:dyDescent="0.25">
      <c r="D771" s="36"/>
      <c r="E771" s="37"/>
    </row>
    <row r="772" spans="4:5" ht="15.75" customHeight="1" x14ac:dyDescent="0.25">
      <c r="D772" s="36"/>
      <c r="E772" s="37"/>
    </row>
    <row r="773" spans="4:5" ht="15.75" customHeight="1" x14ac:dyDescent="0.25">
      <c r="D773" s="36"/>
      <c r="E773" s="37"/>
    </row>
    <row r="774" spans="4:5" ht="15.75" customHeight="1" x14ac:dyDescent="0.25">
      <c r="D774" s="36"/>
      <c r="E774" s="37"/>
    </row>
    <row r="775" spans="4:5" ht="15.75" customHeight="1" x14ac:dyDescent="0.25">
      <c r="D775" s="36"/>
      <c r="E775" s="37"/>
    </row>
    <row r="776" spans="4:5" ht="15.75" customHeight="1" x14ac:dyDescent="0.25">
      <c r="D776" s="36"/>
      <c r="E776" s="37"/>
    </row>
    <row r="777" spans="4:5" ht="15.75" customHeight="1" x14ac:dyDescent="0.25">
      <c r="D777" s="36"/>
      <c r="E777" s="37"/>
    </row>
    <row r="778" spans="4:5" ht="15.75" customHeight="1" x14ac:dyDescent="0.25">
      <c r="D778" s="36"/>
      <c r="E778" s="37"/>
    </row>
    <row r="779" spans="4:5" ht="15.75" customHeight="1" x14ac:dyDescent="0.25">
      <c r="D779" s="36"/>
      <c r="E779" s="37"/>
    </row>
    <row r="780" spans="4:5" ht="15.75" customHeight="1" x14ac:dyDescent="0.25">
      <c r="D780" s="36"/>
      <c r="E780" s="37"/>
    </row>
    <row r="781" spans="4:5" ht="15.75" customHeight="1" x14ac:dyDescent="0.25">
      <c r="D781" s="36"/>
      <c r="E781" s="37"/>
    </row>
    <row r="782" spans="4:5" ht="15.75" customHeight="1" x14ac:dyDescent="0.25">
      <c r="D782" s="36"/>
      <c r="E782" s="37"/>
    </row>
    <row r="783" spans="4:5" ht="15.75" customHeight="1" x14ac:dyDescent="0.25">
      <c r="D783" s="36"/>
      <c r="E783" s="37"/>
    </row>
    <row r="784" spans="4:5" ht="15.75" customHeight="1" x14ac:dyDescent="0.25">
      <c r="D784" s="36"/>
      <c r="E784" s="37"/>
    </row>
    <row r="785" spans="4:5" ht="15.75" customHeight="1" x14ac:dyDescent="0.25">
      <c r="D785" s="36"/>
      <c r="E785" s="37"/>
    </row>
    <row r="786" spans="4:5" ht="15.75" customHeight="1" x14ac:dyDescent="0.25">
      <c r="D786" s="36"/>
      <c r="E786" s="37"/>
    </row>
    <row r="787" spans="4:5" ht="15.75" customHeight="1" x14ac:dyDescent="0.25">
      <c r="D787" s="36"/>
      <c r="E787" s="37"/>
    </row>
    <row r="788" spans="4:5" ht="15.75" customHeight="1" x14ac:dyDescent="0.25">
      <c r="D788" s="36"/>
      <c r="E788" s="37"/>
    </row>
    <row r="789" spans="4:5" ht="15.75" customHeight="1" x14ac:dyDescent="0.25">
      <c r="D789" s="36"/>
      <c r="E789" s="37"/>
    </row>
    <row r="790" spans="4:5" ht="15.75" customHeight="1" x14ac:dyDescent="0.25">
      <c r="D790" s="36"/>
      <c r="E790" s="37"/>
    </row>
    <row r="791" spans="4:5" ht="15.75" customHeight="1" x14ac:dyDescent="0.25">
      <c r="D791" s="36"/>
      <c r="E791" s="37"/>
    </row>
    <row r="792" spans="4:5" ht="15.75" customHeight="1" x14ac:dyDescent="0.25">
      <c r="D792" s="36"/>
      <c r="E792" s="37"/>
    </row>
    <row r="793" spans="4:5" ht="15.75" customHeight="1" x14ac:dyDescent="0.25">
      <c r="D793" s="36"/>
      <c r="E793" s="37"/>
    </row>
    <row r="794" spans="4:5" ht="15.75" customHeight="1" x14ac:dyDescent="0.25">
      <c r="D794" s="36"/>
      <c r="E794" s="37"/>
    </row>
    <row r="795" spans="4:5" ht="15.75" customHeight="1" x14ac:dyDescent="0.25">
      <c r="D795" s="36"/>
      <c r="E795" s="37"/>
    </row>
    <row r="796" spans="4:5" ht="15.75" customHeight="1" x14ac:dyDescent="0.25">
      <c r="D796" s="36"/>
      <c r="E796" s="37"/>
    </row>
    <row r="797" spans="4:5" ht="15.75" customHeight="1" x14ac:dyDescent="0.25">
      <c r="D797" s="36"/>
      <c r="E797" s="37"/>
    </row>
    <row r="798" spans="4:5" ht="15.75" customHeight="1" x14ac:dyDescent="0.25">
      <c r="D798" s="36"/>
      <c r="E798" s="37"/>
    </row>
    <row r="799" spans="4:5" ht="15.75" customHeight="1" x14ac:dyDescent="0.25">
      <c r="D799" s="36"/>
      <c r="E799" s="37"/>
    </row>
    <row r="800" spans="4:5" ht="15.75" customHeight="1" x14ac:dyDescent="0.25">
      <c r="D800" s="36"/>
      <c r="E800" s="37"/>
    </row>
    <row r="801" spans="4:5" ht="15.75" customHeight="1" x14ac:dyDescent="0.25">
      <c r="D801" s="36"/>
      <c r="E801" s="37"/>
    </row>
    <row r="802" spans="4:5" ht="15.75" customHeight="1" x14ac:dyDescent="0.25">
      <c r="D802" s="36"/>
      <c r="E802" s="37"/>
    </row>
    <row r="803" spans="4:5" ht="15.75" customHeight="1" x14ac:dyDescent="0.25">
      <c r="D803" s="36"/>
      <c r="E803" s="37"/>
    </row>
    <row r="804" spans="4:5" ht="15.75" customHeight="1" x14ac:dyDescent="0.25">
      <c r="D804" s="36"/>
      <c r="E804" s="37"/>
    </row>
    <row r="805" spans="4:5" ht="15.75" customHeight="1" x14ac:dyDescent="0.25">
      <c r="D805" s="36"/>
      <c r="E805" s="37"/>
    </row>
    <row r="806" spans="4:5" ht="15.75" customHeight="1" x14ac:dyDescent="0.25">
      <c r="D806" s="36"/>
      <c r="E806" s="37"/>
    </row>
    <row r="807" spans="4:5" ht="15.75" customHeight="1" x14ac:dyDescent="0.25">
      <c r="D807" s="36"/>
      <c r="E807" s="37"/>
    </row>
    <row r="808" spans="4:5" ht="15.75" customHeight="1" x14ac:dyDescent="0.25">
      <c r="D808" s="36"/>
      <c r="E808" s="37"/>
    </row>
    <row r="809" spans="4:5" ht="15.75" customHeight="1" x14ac:dyDescent="0.25">
      <c r="D809" s="36"/>
      <c r="E809" s="37"/>
    </row>
    <row r="810" spans="4:5" ht="15.75" customHeight="1" x14ac:dyDescent="0.25">
      <c r="D810" s="36"/>
      <c r="E810" s="37"/>
    </row>
    <row r="811" spans="4:5" ht="15.75" customHeight="1" x14ac:dyDescent="0.25">
      <c r="D811" s="36"/>
      <c r="E811" s="37"/>
    </row>
    <row r="812" spans="4:5" ht="15.75" customHeight="1" x14ac:dyDescent="0.25">
      <c r="D812" s="36"/>
      <c r="E812" s="37"/>
    </row>
    <row r="813" spans="4:5" ht="15.75" customHeight="1" x14ac:dyDescent="0.25">
      <c r="D813" s="36"/>
      <c r="E813" s="37"/>
    </row>
    <row r="814" spans="4:5" ht="15.75" customHeight="1" x14ac:dyDescent="0.25">
      <c r="D814" s="36"/>
      <c r="E814" s="37"/>
    </row>
    <row r="815" spans="4:5" ht="15.75" customHeight="1" x14ac:dyDescent="0.25">
      <c r="D815" s="36"/>
      <c r="E815" s="37"/>
    </row>
    <row r="816" spans="4:5" ht="15.75" customHeight="1" x14ac:dyDescent="0.25">
      <c r="D816" s="36"/>
      <c r="E816" s="37"/>
    </row>
    <row r="817" spans="4:5" ht="15.75" customHeight="1" x14ac:dyDescent="0.25">
      <c r="D817" s="36"/>
      <c r="E817" s="37"/>
    </row>
    <row r="818" spans="4:5" ht="15.75" customHeight="1" x14ac:dyDescent="0.25">
      <c r="D818" s="36"/>
      <c r="E818" s="37"/>
    </row>
    <row r="819" spans="4:5" ht="15.75" customHeight="1" x14ac:dyDescent="0.25">
      <c r="D819" s="36"/>
      <c r="E819" s="37"/>
    </row>
    <row r="820" spans="4:5" ht="15.75" customHeight="1" x14ac:dyDescent="0.25">
      <c r="D820" s="36"/>
      <c r="E820" s="37"/>
    </row>
    <row r="821" spans="4:5" ht="15.75" customHeight="1" x14ac:dyDescent="0.25">
      <c r="D821" s="36"/>
      <c r="E821" s="37"/>
    </row>
    <row r="822" spans="4:5" ht="15.75" customHeight="1" x14ac:dyDescent="0.25">
      <c r="D822" s="36"/>
      <c r="E822" s="37"/>
    </row>
    <row r="823" spans="4:5" ht="15.75" customHeight="1" x14ac:dyDescent="0.25">
      <c r="D823" s="36"/>
      <c r="E823" s="37"/>
    </row>
    <row r="824" spans="4:5" ht="15.75" customHeight="1" x14ac:dyDescent="0.25">
      <c r="D824" s="36"/>
      <c r="E824" s="37"/>
    </row>
    <row r="825" spans="4:5" ht="15.75" customHeight="1" x14ac:dyDescent="0.25">
      <c r="D825" s="36"/>
      <c r="E825" s="37"/>
    </row>
    <row r="826" spans="4:5" ht="15.75" customHeight="1" x14ac:dyDescent="0.25">
      <c r="D826" s="36"/>
      <c r="E826" s="37"/>
    </row>
    <row r="827" spans="4:5" ht="15.75" customHeight="1" x14ac:dyDescent="0.25">
      <c r="D827" s="36"/>
      <c r="E827" s="37"/>
    </row>
    <row r="828" spans="4:5" ht="15.75" customHeight="1" x14ac:dyDescent="0.25">
      <c r="D828" s="36"/>
      <c r="E828" s="37"/>
    </row>
    <row r="829" spans="4:5" ht="15.75" customHeight="1" x14ac:dyDescent="0.25">
      <c r="D829" s="36"/>
      <c r="E829" s="37"/>
    </row>
    <row r="830" spans="4:5" ht="15.75" customHeight="1" x14ac:dyDescent="0.25">
      <c r="D830" s="36"/>
      <c r="E830" s="37"/>
    </row>
    <row r="831" spans="4:5" ht="15.75" customHeight="1" x14ac:dyDescent="0.25">
      <c r="D831" s="36"/>
      <c r="E831" s="37"/>
    </row>
    <row r="832" spans="4:5" ht="15.75" customHeight="1" x14ac:dyDescent="0.25">
      <c r="D832" s="36"/>
      <c r="E832" s="37"/>
    </row>
    <row r="833" spans="4:5" ht="15.75" customHeight="1" x14ac:dyDescent="0.25">
      <c r="D833" s="36"/>
      <c r="E833" s="37"/>
    </row>
    <row r="834" spans="4:5" ht="15.75" customHeight="1" x14ac:dyDescent="0.25">
      <c r="D834" s="36"/>
      <c r="E834" s="37"/>
    </row>
    <row r="835" spans="4:5" ht="15.75" customHeight="1" x14ac:dyDescent="0.25">
      <c r="D835" s="36"/>
      <c r="E835" s="37"/>
    </row>
    <row r="836" spans="4:5" ht="15.75" customHeight="1" x14ac:dyDescent="0.25">
      <c r="D836" s="36"/>
      <c r="E836" s="37"/>
    </row>
    <row r="837" spans="4:5" ht="15.75" customHeight="1" x14ac:dyDescent="0.25">
      <c r="D837" s="36"/>
      <c r="E837" s="37"/>
    </row>
    <row r="838" spans="4:5" ht="15.75" customHeight="1" x14ac:dyDescent="0.25">
      <c r="D838" s="36"/>
      <c r="E838" s="37"/>
    </row>
    <row r="839" spans="4:5" ht="15.75" customHeight="1" x14ac:dyDescent="0.25">
      <c r="D839" s="36"/>
      <c r="E839" s="37"/>
    </row>
    <row r="840" spans="4:5" ht="15.75" customHeight="1" x14ac:dyDescent="0.25">
      <c r="D840" s="36"/>
      <c r="E840" s="37"/>
    </row>
    <row r="841" spans="4:5" ht="15.75" customHeight="1" x14ac:dyDescent="0.25">
      <c r="D841" s="36"/>
      <c r="E841" s="37"/>
    </row>
    <row r="842" spans="4:5" ht="15.75" customHeight="1" x14ac:dyDescent="0.25">
      <c r="D842" s="36"/>
      <c r="E842" s="37"/>
    </row>
    <row r="843" spans="4:5" ht="15.75" customHeight="1" x14ac:dyDescent="0.25">
      <c r="D843" s="36"/>
      <c r="E843" s="37"/>
    </row>
    <row r="844" spans="4:5" ht="15.75" customHeight="1" x14ac:dyDescent="0.25">
      <c r="D844" s="36"/>
      <c r="E844" s="37"/>
    </row>
    <row r="845" spans="4:5" ht="15.75" customHeight="1" x14ac:dyDescent="0.25">
      <c r="D845" s="36"/>
      <c r="E845" s="37"/>
    </row>
    <row r="846" spans="4:5" ht="15.75" customHeight="1" x14ac:dyDescent="0.25">
      <c r="D846" s="36"/>
      <c r="E846" s="37"/>
    </row>
    <row r="847" spans="4:5" ht="15.75" customHeight="1" x14ac:dyDescent="0.25">
      <c r="D847" s="36"/>
      <c r="E847" s="37"/>
    </row>
    <row r="848" spans="4:5" ht="15.75" customHeight="1" x14ac:dyDescent="0.25">
      <c r="D848" s="36"/>
      <c r="E848" s="37"/>
    </row>
    <row r="849" spans="4:5" ht="15.75" customHeight="1" x14ac:dyDescent="0.25">
      <c r="D849" s="36"/>
      <c r="E849" s="37"/>
    </row>
    <row r="850" spans="4:5" ht="15.75" customHeight="1" x14ac:dyDescent="0.25">
      <c r="D850" s="36"/>
      <c r="E850" s="37"/>
    </row>
    <row r="851" spans="4:5" ht="15.75" customHeight="1" x14ac:dyDescent="0.25">
      <c r="D851" s="36"/>
      <c r="E851" s="37"/>
    </row>
    <row r="852" spans="4:5" ht="15.75" customHeight="1" x14ac:dyDescent="0.25">
      <c r="D852" s="36"/>
      <c r="E852" s="37"/>
    </row>
    <row r="853" spans="4:5" ht="15.75" customHeight="1" x14ac:dyDescent="0.25">
      <c r="D853" s="36"/>
      <c r="E853" s="37"/>
    </row>
    <row r="854" spans="4:5" ht="15.75" customHeight="1" x14ac:dyDescent="0.25">
      <c r="D854" s="36"/>
      <c r="E854" s="37"/>
    </row>
    <row r="855" spans="4:5" ht="15.75" customHeight="1" x14ac:dyDescent="0.25">
      <c r="D855" s="36"/>
      <c r="E855" s="37"/>
    </row>
    <row r="856" spans="4:5" ht="15.75" customHeight="1" x14ac:dyDescent="0.25">
      <c r="D856" s="36"/>
      <c r="E856" s="37"/>
    </row>
    <row r="857" spans="4:5" ht="15.75" customHeight="1" x14ac:dyDescent="0.25">
      <c r="D857" s="36"/>
      <c r="E857" s="37"/>
    </row>
    <row r="858" spans="4:5" ht="15.75" customHeight="1" x14ac:dyDescent="0.25">
      <c r="D858" s="36"/>
      <c r="E858" s="37"/>
    </row>
    <row r="859" spans="4:5" ht="15.75" customHeight="1" x14ac:dyDescent="0.25">
      <c r="D859" s="36"/>
      <c r="E859" s="37"/>
    </row>
    <row r="860" spans="4:5" ht="15.75" customHeight="1" x14ac:dyDescent="0.25">
      <c r="D860" s="36"/>
      <c r="E860" s="37"/>
    </row>
    <row r="861" spans="4:5" ht="15.75" customHeight="1" x14ac:dyDescent="0.25">
      <c r="D861" s="36"/>
      <c r="E861" s="37"/>
    </row>
    <row r="862" spans="4:5" ht="15.75" customHeight="1" x14ac:dyDescent="0.25">
      <c r="D862" s="36"/>
      <c r="E862" s="37"/>
    </row>
    <row r="863" spans="4:5" ht="15.75" customHeight="1" x14ac:dyDescent="0.25">
      <c r="D863" s="36"/>
      <c r="E863" s="37"/>
    </row>
    <row r="864" spans="4:5" ht="15.75" customHeight="1" x14ac:dyDescent="0.25">
      <c r="D864" s="36"/>
      <c r="E864" s="37"/>
    </row>
    <row r="865" spans="4:5" ht="15.75" customHeight="1" x14ac:dyDescent="0.25">
      <c r="D865" s="36"/>
      <c r="E865" s="37"/>
    </row>
    <row r="866" spans="4:5" ht="15.75" customHeight="1" x14ac:dyDescent="0.25">
      <c r="D866" s="36"/>
      <c r="E866" s="37"/>
    </row>
    <row r="867" spans="4:5" ht="15.75" customHeight="1" x14ac:dyDescent="0.25">
      <c r="D867" s="36"/>
      <c r="E867" s="37"/>
    </row>
    <row r="868" spans="4:5" ht="15.75" customHeight="1" x14ac:dyDescent="0.25">
      <c r="D868" s="36"/>
      <c r="E868" s="37"/>
    </row>
    <row r="869" spans="4:5" ht="15.75" customHeight="1" x14ac:dyDescent="0.25">
      <c r="D869" s="36"/>
      <c r="E869" s="37"/>
    </row>
    <row r="870" spans="4:5" ht="15.75" customHeight="1" x14ac:dyDescent="0.25">
      <c r="D870" s="36"/>
      <c r="E870" s="37"/>
    </row>
    <row r="871" spans="4:5" ht="15.75" customHeight="1" x14ac:dyDescent="0.25">
      <c r="D871" s="36"/>
      <c r="E871" s="37"/>
    </row>
    <row r="872" spans="4:5" ht="15.75" customHeight="1" x14ac:dyDescent="0.25">
      <c r="D872" s="36"/>
      <c r="E872" s="37"/>
    </row>
    <row r="873" spans="4:5" ht="15.75" customHeight="1" x14ac:dyDescent="0.25">
      <c r="D873" s="36"/>
      <c r="E873" s="37"/>
    </row>
    <row r="874" spans="4:5" ht="15.75" customHeight="1" x14ac:dyDescent="0.25">
      <c r="D874" s="36"/>
      <c r="E874" s="37"/>
    </row>
    <row r="875" spans="4:5" ht="15.75" customHeight="1" x14ac:dyDescent="0.25">
      <c r="D875" s="36"/>
      <c r="E875" s="37"/>
    </row>
    <row r="876" spans="4:5" ht="15.75" customHeight="1" x14ac:dyDescent="0.25">
      <c r="D876" s="36"/>
      <c r="E876" s="37"/>
    </row>
    <row r="877" spans="4:5" ht="15.75" customHeight="1" x14ac:dyDescent="0.25">
      <c r="D877" s="36"/>
      <c r="E877" s="37"/>
    </row>
    <row r="878" spans="4:5" ht="15.75" customHeight="1" x14ac:dyDescent="0.25">
      <c r="D878" s="36"/>
      <c r="E878" s="37"/>
    </row>
    <row r="879" spans="4:5" ht="15.75" customHeight="1" x14ac:dyDescent="0.25">
      <c r="D879" s="36"/>
      <c r="E879" s="37"/>
    </row>
    <row r="880" spans="4:5" ht="15.75" customHeight="1" x14ac:dyDescent="0.25">
      <c r="D880" s="36"/>
      <c r="E880" s="37"/>
    </row>
    <row r="881" spans="4:5" ht="15.75" customHeight="1" x14ac:dyDescent="0.25">
      <c r="D881" s="36"/>
      <c r="E881" s="37"/>
    </row>
    <row r="882" spans="4:5" ht="15.75" customHeight="1" x14ac:dyDescent="0.25">
      <c r="D882" s="36"/>
      <c r="E882" s="37"/>
    </row>
    <row r="883" spans="4:5" ht="15.75" customHeight="1" x14ac:dyDescent="0.25">
      <c r="D883" s="36"/>
      <c r="E883" s="37"/>
    </row>
    <row r="884" spans="4:5" ht="15.75" customHeight="1" x14ac:dyDescent="0.25">
      <c r="D884" s="36"/>
      <c r="E884" s="37"/>
    </row>
    <row r="885" spans="4:5" ht="15.75" customHeight="1" x14ac:dyDescent="0.25">
      <c r="D885" s="36"/>
      <c r="E885" s="37"/>
    </row>
    <row r="886" spans="4:5" ht="15.75" customHeight="1" x14ac:dyDescent="0.25">
      <c r="D886" s="36"/>
      <c r="E886" s="37"/>
    </row>
    <row r="887" spans="4:5" ht="15.75" customHeight="1" x14ac:dyDescent="0.25">
      <c r="D887" s="36"/>
      <c r="E887" s="37"/>
    </row>
    <row r="888" spans="4:5" ht="15.75" customHeight="1" x14ac:dyDescent="0.25">
      <c r="D888" s="36"/>
      <c r="E888" s="37"/>
    </row>
    <row r="889" spans="4:5" ht="15.75" customHeight="1" x14ac:dyDescent="0.25">
      <c r="D889" s="36"/>
      <c r="E889" s="37"/>
    </row>
    <row r="890" spans="4:5" ht="15.75" customHeight="1" x14ac:dyDescent="0.25">
      <c r="D890" s="36"/>
      <c r="E890" s="37"/>
    </row>
    <row r="891" spans="4:5" ht="15.75" customHeight="1" x14ac:dyDescent="0.25">
      <c r="D891" s="36"/>
      <c r="E891" s="37"/>
    </row>
    <row r="892" spans="4:5" ht="15.75" customHeight="1" x14ac:dyDescent="0.25">
      <c r="D892" s="36"/>
      <c r="E892" s="37"/>
    </row>
    <row r="893" spans="4:5" ht="15.75" customHeight="1" x14ac:dyDescent="0.25">
      <c r="D893" s="36"/>
      <c r="E893" s="37"/>
    </row>
    <row r="894" spans="4:5" ht="15.75" customHeight="1" x14ac:dyDescent="0.25">
      <c r="D894" s="36"/>
      <c r="E894" s="37"/>
    </row>
    <row r="895" spans="4:5" ht="15.75" customHeight="1" x14ac:dyDescent="0.25">
      <c r="D895" s="36"/>
      <c r="E895" s="37"/>
    </row>
    <row r="896" spans="4:5" ht="15.75" customHeight="1" x14ac:dyDescent="0.25">
      <c r="D896" s="36"/>
      <c r="E896" s="37"/>
    </row>
    <row r="897" spans="4:5" ht="15.75" customHeight="1" x14ac:dyDescent="0.25">
      <c r="D897" s="36"/>
      <c r="E897" s="37"/>
    </row>
    <row r="898" spans="4:5" ht="15.75" customHeight="1" x14ac:dyDescent="0.25">
      <c r="D898" s="36"/>
      <c r="E898" s="37"/>
    </row>
    <row r="899" spans="4:5" ht="15.75" customHeight="1" x14ac:dyDescent="0.25">
      <c r="D899" s="36"/>
      <c r="E899" s="37"/>
    </row>
    <row r="900" spans="4:5" ht="15.75" customHeight="1" x14ac:dyDescent="0.25">
      <c r="D900" s="36"/>
      <c r="E900" s="37"/>
    </row>
    <row r="901" spans="4:5" ht="15.75" customHeight="1" x14ac:dyDescent="0.25">
      <c r="D901" s="36"/>
      <c r="E901" s="37"/>
    </row>
    <row r="902" spans="4:5" ht="15.75" customHeight="1" x14ac:dyDescent="0.25">
      <c r="D902" s="36"/>
      <c r="E902" s="37"/>
    </row>
    <row r="903" spans="4:5" ht="15.75" customHeight="1" x14ac:dyDescent="0.25">
      <c r="D903" s="36"/>
      <c r="E903" s="37"/>
    </row>
    <row r="904" spans="4:5" ht="15.75" customHeight="1" x14ac:dyDescent="0.25">
      <c r="D904" s="36"/>
      <c r="E904" s="37"/>
    </row>
    <row r="905" spans="4:5" ht="15.75" customHeight="1" x14ac:dyDescent="0.25">
      <c r="D905" s="36"/>
      <c r="E905" s="37"/>
    </row>
    <row r="906" spans="4:5" ht="15.75" customHeight="1" x14ac:dyDescent="0.25">
      <c r="D906" s="36"/>
      <c r="E906" s="37"/>
    </row>
    <row r="907" spans="4:5" ht="15.75" customHeight="1" x14ac:dyDescent="0.25">
      <c r="D907" s="36"/>
      <c r="E907" s="37"/>
    </row>
    <row r="908" spans="4:5" ht="15.75" customHeight="1" x14ac:dyDescent="0.25">
      <c r="D908" s="36"/>
      <c r="E908" s="37"/>
    </row>
    <row r="909" spans="4:5" ht="15.75" customHeight="1" x14ac:dyDescent="0.25">
      <c r="D909" s="36"/>
      <c r="E909" s="37"/>
    </row>
    <row r="910" spans="4:5" ht="15.75" customHeight="1" x14ac:dyDescent="0.25">
      <c r="D910" s="36"/>
      <c r="E910" s="37"/>
    </row>
    <row r="911" spans="4:5" ht="15.75" customHeight="1" x14ac:dyDescent="0.25">
      <c r="D911" s="36"/>
      <c r="E911" s="37"/>
    </row>
    <row r="912" spans="4:5" ht="15.75" customHeight="1" x14ac:dyDescent="0.25">
      <c r="D912" s="36"/>
      <c r="E912" s="37"/>
    </row>
    <row r="913" spans="4:5" ht="15.75" customHeight="1" x14ac:dyDescent="0.25">
      <c r="D913" s="36"/>
      <c r="E913" s="37"/>
    </row>
    <row r="914" spans="4:5" ht="15.75" customHeight="1" x14ac:dyDescent="0.25">
      <c r="D914" s="36"/>
      <c r="E914" s="37"/>
    </row>
    <row r="915" spans="4:5" ht="15.75" customHeight="1" x14ac:dyDescent="0.25">
      <c r="D915" s="36"/>
      <c r="E915" s="37"/>
    </row>
    <row r="916" spans="4:5" ht="15.75" customHeight="1" x14ac:dyDescent="0.25">
      <c r="D916" s="36"/>
      <c r="E916" s="37"/>
    </row>
    <row r="917" spans="4:5" ht="15.75" customHeight="1" x14ac:dyDescent="0.25">
      <c r="D917" s="36"/>
      <c r="E917" s="37"/>
    </row>
    <row r="918" spans="4:5" ht="15.75" customHeight="1" x14ac:dyDescent="0.25">
      <c r="D918" s="36"/>
      <c r="E918" s="37"/>
    </row>
    <row r="919" spans="4:5" ht="15.75" customHeight="1" x14ac:dyDescent="0.25">
      <c r="D919" s="36"/>
      <c r="E919" s="37"/>
    </row>
    <row r="920" spans="4:5" ht="15.75" customHeight="1" x14ac:dyDescent="0.25">
      <c r="D920" s="36"/>
      <c r="E920" s="37"/>
    </row>
    <row r="921" spans="4:5" ht="15.75" customHeight="1" x14ac:dyDescent="0.25">
      <c r="D921" s="36"/>
      <c r="E921" s="37"/>
    </row>
    <row r="922" spans="4:5" ht="15.75" customHeight="1" x14ac:dyDescent="0.25">
      <c r="D922" s="36"/>
      <c r="E922" s="37"/>
    </row>
    <row r="923" spans="4:5" ht="15.75" customHeight="1" x14ac:dyDescent="0.25">
      <c r="D923" s="36"/>
      <c r="E923" s="37"/>
    </row>
    <row r="924" spans="4:5" ht="15.75" customHeight="1" x14ac:dyDescent="0.25">
      <c r="D924" s="36"/>
      <c r="E924" s="37"/>
    </row>
    <row r="925" spans="4:5" ht="15.75" customHeight="1" x14ac:dyDescent="0.25">
      <c r="D925" s="36"/>
      <c r="E925" s="37"/>
    </row>
    <row r="926" spans="4:5" ht="15.75" customHeight="1" x14ac:dyDescent="0.25">
      <c r="D926" s="36"/>
      <c r="E926" s="37"/>
    </row>
    <row r="927" spans="4:5" ht="15.75" customHeight="1" x14ac:dyDescent="0.25">
      <c r="D927" s="36"/>
      <c r="E927" s="37"/>
    </row>
    <row r="928" spans="4:5" ht="15.75" customHeight="1" x14ac:dyDescent="0.25">
      <c r="D928" s="36"/>
      <c r="E928" s="37"/>
    </row>
    <row r="929" spans="4:5" ht="15.75" customHeight="1" x14ac:dyDescent="0.25">
      <c r="D929" s="36"/>
      <c r="E929" s="37"/>
    </row>
    <row r="930" spans="4:5" ht="15.75" customHeight="1" x14ac:dyDescent="0.25">
      <c r="D930" s="36"/>
      <c r="E930" s="37"/>
    </row>
    <row r="931" spans="4:5" ht="15.75" customHeight="1" x14ac:dyDescent="0.25">
      <c r="D931" s="36"/>
      <c r="E931" s="37"/>
    </row>
    <row r="932" spans="4:5" ht="15.75" customHeight="1" x14ac:dyDescent="0.25">
      <c r="D932" s="36"/>
      <c r="E932" s="37"/>
    </row>
    <row r="933" spans="4:5" ht="15.75" customHeight="1" x14ac:dyDescent="0.25">
      <c r="D933" s="36"/>
      <c r="E933" s="37"/>
    </row>
    <row r="934" spans="4:5" ht="15.75" customHeight="1" x14ac:dyDescent="0.25">
      <c r="D934" s="36"/>
      <c r="E934" s="37"/>
    </row>
    <row r="935" spans="4:5" ht="15.75" customHeight="1" x14ac:dyDescent="0.25">
      <c r="D935" s="36"/>
      <c r="E935" s="37"/>
    </row>
    <row r="936" spans="4:5" ht="15.75" customHeight="1" x14ac:dyDescent="0.25">
      <c r="D936" s="36"/>
      <c r="E936" s="37"/>
    </row>
    <row r="937" spans="4:5" ht="15.75" customHeight="1" x14ac:dyDescent="0.25">
      <c r="D937" s="36"/>
      <c r="E937" s="37"/>
    </row>
    <row r="938" spans="4:5" ht="15.75" customHeight="1" x14ac:dyDescent="0.25">
      <c r="D938" s="36"/>
      <c r="E938" s="37"/>
    </row>
    <row r="939" spans="4:5" ht="15.75" customHeight="1" x14ac:dyDescent="0.25">
      <c r="D939" s="36"/>
      <c r="E939" s="37"/>
    </row>
    <row r="940" spans="4:5" ht="15.75" customHeight="1" x14ac:dyDescent="0.25">
      <c r="D940" s="36"/>
      <c r="E940" s="37"/>
    </row>
    <row r="941" spans="4:5" ht="15.75" customHeight="1" x14ac:dyDescent="0.25">
      <c r="D941" s="36"/>
      <c r="E941" s="37"/>
    </row>
    <row r="942" spans="4:5" ht="15.75" customHeight="1" x14ac:dyDescent="0.25">
      <c r="D942" s="36"/>
      <c r="E942" s="37"/>
    </row>
    <row r="943" spans="4:5" ht="15.75" customHeight="1" x14ac:dyDescent="0.25">
      <c r="D943" s="36"/>
      <c r="E943" s="37"/>
    </row>
    <row r="944" spans="4:5" ht="15.75" customHeight="1" x14ac:dyDescent="0.25">
      <c r="D944" s="36"/>
      <c r="E944" s="37"/>
    </row>
    <row r="945" spans="4:5" ht="15.75" customHeight="1" x14ac:dyDescent="0.25">
      <c r="D945" s="36"/>
      <c r="E945" s="37"/>
    </row>
    <row r="946" spans="4:5" ht="15.75" customHeight="1" x14ac:dyDescent="0.25">
      <c r="D946" s="36"/>
      <c r="E946" s="37"/>
    </row>
    <row r="947" spans="4:5" ht="15.75" customHeight="1" x14ac:dyDescent="0.25">
      <c r="D947" s="36"/>
      <c r="E947" s="37"/>
    </row>
    <row r="948" spans="4:5" ht="15.75" customHeight="1" x14ac:dyDescent="0.25">
      <c r="D948" s="36"/>
      <c r="E948" s="37"/>
    </row>
    <row r="949" spans="4:5" ht="15.75" customHeight="1" x14ac:dyDescent="0.25">
      <c r="D949" s="36"/>
      <c r="E949" s="37"/>
    </row>
    <row r="950" spans="4:5" ht="15.75" customHeight="1" x14ac:dyDescent="0.25">
      <c r="D950" s="36"/>
      <c r="E950" s="37"/>
    </row>
    <row r="951" spans="4:5" ht="15.75" customHeight="1" x14ac:dyDescent="0.25">
      <c r="D951" s="36"/>
      <c r="E951" s="37"/>
    </row>
    <row r="952" spans="4:5" ht="15.75" customHeight="1" x14ac:dyDescent="0.25">
      <c r="D952" s="36"/>
      <c r="E952" s="37"/>
    </row>
    <row r="953" spans="4:5" ht="15.75" customHeight="1" x14ac:dyDescent="0.25">
      <c r="D953" s="36"/>
      <c r="E953" s="37"/>
    </row>
    <row r="954" spans="4:5" ht="15.75" customHeight="1" x14ac:dyDescent="0.25">
      <c r="D954" s="36"/>
      <c r="E954" s="37"/>
    </row>
    <row r="955" spans="4:5" ht="15.75" customHeight="1" x14ac:dyDescent="0.25">
      <c r="D955" s="36"/>
      <c r="E955" s="37"/>
    </row>
    <row r="956" spans="4:5" ht="15.75" customHeight="1" x14ac:dyDescent="0.25">
      <c r="D956" s="36"/>
      <c r="E956" s="37"/>
    </row>
    <row r="957" spans="4:5" ht="15.75" customHeight="1" x14ac:dyDescent="0.25">
      <c r="D957" s="36"/>
      <c r="E957" s="37"/>
    </row>
    <row r="958" spans="4:5" ht="15.75" customHeight="1" x14ac:dyDescent="0.25">
      <c r="D958" s="36"/>
      <c r="E958" s="37"/>
    </row>
    <row r="959" spans="4:5" ht="15.75" customHeight="1" x14ac:dyDescent="0.25">
      <c r="D959" s="36"/>
      <c r="E959" s="37"/>
    </row>
    <row r="960" spans="4:5" ht="15.75" customHeight="1" x14ac:dyDescent="0.25">
      <c r="D960" s="36"/>
      <c r="E960" s="37"/>
    </row>
    <row r="961" spans="4:5" ht="15.75" customHeight="1" x14ac:dyDescent="0.25">
      <c r="D961" s="36"/>
      <c r="E961" s="37"/>
    </row>
    <row r="962" spans="4:5" ht="15.75" customHeight="1" x14ac:dyDescent="0.25">
      <c r="D962" s="36"/>
      <c r="E962" s="37"/>
    </row>
    <row r="963" spans="4:5" ht="15.75" customHeight="1" x14ac:dyDescent="0.25">
      <c r="D963" s="36"/>
      <c r="E963" s="37"/>
    </row>
    <row r="964" spans="4:5" ht="15.75" customHeight="1" x14ac:dyDescent="0.25">
      <c r="D964" s="36"/>
      <c r="E964" s="37"/>
    </row>
    <row r="965" spans="4:5" ht="15.75" customHeight="1" x14ac:dyDescent="0.25">
      <c r="D965" s="36"/>
      <c r="E965" s="37"/>
    </row>
    <row r="966" spans="4:5" ht="15.75" customHeight="1" x14ac:dyDescent="0.25">
      <c r="D966" s="36"/>
      <c r="E966" s="37"/>
    </row>
    <row r="967" spans="4:5" ht="15.75" customHeight="1" x14ac:dyDescent="0.25">
      <c r="D967" s="36"/>
      <c r="E967" s="37"/>
    </row>
    <row r="968" spans="4:5" ht="15.75" customHeight="1" x14ac:dyDescent="0.25">
      <c r="D968" s="36"/>
      <c r="E968" s="37"/>
    </row>
    <row r="969" spans="4:5" ht="15.75" customHeight="1" x14ac:dyDescent="0.25">
      <c r="D969" s="36"/>
      <c r="E969" s="37"/>
    </row>
    <row r="970" spans="4:5" ht="15.75" customHeight="1" x14ac:dyDescent="0.25">
      <c r="D970" s="36"/>
      <c r="E970" s="37"/>
    </row>
    <row r="971" spans="4:5" ht="15.75" customHeight="1" x14ac:dyDescent="0.25">
      <c r="D971" s="36"/>
      <c r="E971" s="37"/>
    </row>
    <row r="972" spans="4:5" ht="15.75" customHeight="1" x14ac:dyDescent="0.25">
      <c r="D972" s="36"/>
      <c r="E972" s="37"/>
    </row>
    <row r="973" spans="4:5" ht="15.75" customHeight="1" x14ac:dyDescent="0.25">
      <c r="D973" s="36"/>
      <c r="E973" s="37"/>
    </row>
    <row r="974" spans="4:5" ht="15.75" customHeight="1" x14ac:dyDescent="0.25">
      <c r="D974" s="36"/>
      <c r="E974" s="37"/>
    </row>
    <row r="975" spans="4:5" ht="15.75" customHeight="1" x14ac:dyDescent="0.25">
      <c r="D975" s="36"/>
      <c r="E975" s="37"/>
    </row>
    <row r="976" spans="4:5" ht="15.75" customHeight="1" x14ac:dyDescent="0.25">
      <c r="D976" s="36"/>
      <c r="E976" s="37"/>
    </row>
    <row r="977" spans="4:5" ht="15.75" customHeight="1" x14ac:dyDescent="0.25">
      <c r="D977" s="36"/>
      <c r="E977" s="37"/>
    </row>
    <row r="978" spans="4:5" ht="15.75" customHeight="1" x14ac:dyDescent="0.25">
      <c r="D978" s="36"/>
      <c r="E978" s="37"/>
    </row>
    <row r="979" spans="4:5" ht="15.75" customHeight="1" x14ac:dyDescent="0.25">
      <c r="D979" s="36"/>
      <c r="E979" s="37"/>
    </row>
    <row r="980" spans="4:5" ht="15.75" customHeight="1" x14ac:dyDescent="0.25">
      <c r="D980" s="36"/>
      <c r="E980" s="37"/>
    </row>
    <row r="981" spans="4:5" ht="15.75" customHeight="1" x14ac:dyDescent="0.25">
      <c r="D981" s="36"/>
      <c r="E981" s="37"/>
    </row>
    <row r="982" spans="4:5" ht="15.75" customHeight="1" x14ac:dyDescent="0.25">
      <c r="D982" s="36"/>
      <c r="E982" s="37"/>
    </row>
    <row r="983" spans="4:5" ht="15.75" customHeight="1" x14ac:dyDescent="0.25">
      <c r="D983" s="36"/>
      <c r="E983" s="37"/>
    </row>
    <row r="984" spans="4:5" ht="15.75" customHeight="1" x14ac:dyDescent="0.25">
      <c r="D984" s="36"/>
      <c r="E984" s="37"/>
    </row>
    <row r="985" spans="4:5" ht="15.75" customHeight="1" x14ac:dyDescent="0.25">
      <c r="D985" s="36"/>
      <c r="E985" s="37"/>
    </row>
    <row r="986" spans="4:5" ht="15.75" customHeight="1" x14ac:dyDescent="0.25">
      <c r="D986" s="36"/>
      <c r="E986" s="37"/>
    </row>
    <row r="987" spans="4:5" ht="15.75" customHeight="1" x14ac:dyDescent="0.25">
      <c r="D987" s="36"/>
      <c r="E987" s="37"/>
    </row>
    <row r="988" spans="4:5" ht="15.75" customHeight="1" x14ac:dyDescent="0.25">
      <c r="D988" s="36"/>
      <c r="E988" s="37"/>
    </row>
    <row r="989" spans="4:5" ht="15.75" customHeight="1" x14ac:dyDescent="0.25">
      <c r="D989" s="36"/>
      <c r="E989" s="37"/>
    </row>
    <row r="990" spans="4:5" ht="15.75" customHeight="1" x14ac:dyDescent="0.25">
      <c r="D990" s="36"/>
      <c r="E990" s="37"/>
    </row>
    <row r="991" spans="4:5" ht="15.75" customHeight="1" x14ac:dyDescent="0.25">
      <c r="D991" s="36"/>
      <c r="E991" s="37"/>
    </row>
    <row r="992" spans="4:5" ht="15.75" customHeight="1" x14ac:dyDescent="0.25">
      <c r="D992" s="36"/>
      <c r="E992" s="37"/>
    </row>
    <row r="993" spans="4:5" ht="15.75" customHeight="1" x14ac:dyDescent="0.25">
      <c r="D993" s="36"/>
      <c r="E993" s="37"/>
    </row>
    <row r="994" spans="4:5" ht="15.75" customHeight="1" x14ac:dyDescent="0.25">
      <c r="D994" s="36"/>
      <c r="E994" s="37"/>
    </row>
    <row r="995" spans="4:5" ht="15.75" customHeight="1" x14ac:dyDescent="0.25">
      <c r="D995" s="36"/>
      <c r="E995" s="37"/>
    </row>
    <row r="996" spans="4:5" ht="15.75" customHeight="1" x14ac:dyDescent="0.25">
      <c r="D996" s="36"/>
      <c r="E996" s="37"/>
    </row>
    <row r="997" spans="4:5" ht="15.75" customHeight="1" x14ac:dyDescent="0.25">
      <c r="D997" s="36"/>
      <c r="E997" s="37"/>
    </row>
    <row r="998" spans="4:5" ht="15.75" customHeight="1" x14ac:dyDescent="0.25">
      <c r="D998" s="36"/>
      <c r="E998" s="37"/>
    </row>
    <row r="999" spans="4:5" ht="15.75" customHeight="1" x14ac:dyDescent="0.25">
      <c r="D999" s="36"/>
      <c r="E999" s="37"/>
    </row>
    <row r="1000" spans="4:5" ht="15.75" customHeight="1" x14ac:dyDescent="0.25">
      <c r="D1000" s="36"/>
      <c r="E1000" s="37"/>
    </row>
    <row r="1001" spans="4:5" ht="15.75" customHeight="1" x14ac:dyDescent="0.25">
      <c r="D1001" s="36"/>
      <c r="E1001" s="37"/>
    </row>
    <row r="1002" spans="4:5" ht="15.75" customHeight="1" x14ac:dyDescent="0.25">
      <c r="D1002" s="36"/>
      <c r="E1002" s="37"/>
    </row>
    <row r="1003" spans="4:5" ht="15.75" customHeight="1" x14ac:dyDescent="0.25">
      <c r="D1003" s="36"/>
      <c r="E1003" s="37"/>
    </row>
    <row r="1004" spans="4:5" ht="15.75" customHeight="1" x14ac:dyDescent="0.25">
      <c r="D1004" s="36"/>
      <c r="E1004" s="37"/>
    </row>
  </sheetData>
  <mergeCells count="16">
    <mergeCell ref="A8:A9"/>
    <mergeCell ref="C10:D10"/>
    <mergeCell ref="E15:E16"/>
    <mergeCell ref="A43:E43"/>
    <mergeCell ref="A11:G12"/>
    <mergeCell ref="B13:G13"/>
    <mergeCell ref="A15:A16"/>
    <mergeCell ref="B15:B16"/>
    <mergeCell ref="C15:C16"/>
    <mergeCell ref="D15:D16"/>
    <mergeCell ref="F15:F16"/>
    <mergeCell ref="A2:G2"/>
    <mergeCell ref="A4:B4"/>
    <mergeCell ref="C4:G4"/>
    <mergeCell ref="B6:G6"/>
    <mergeCell ref="B7:G7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7"/>
  <sheetViews>
    <sheetView topLeftCell="A4" workbookViewId="0">
      <selection activeCell="G16" sqref="G16:I47"/>
    </sheetView>
  </sheetViews>
  <sheetFormatPr defaultColWidth="12.6640625" defaultRowHeight="15" customHeight="1" x14ac:dyDescent="0.25"/>
  <cols>
    <col min="1" max="1" width="19.77734375" customWidth="1"/>
    <col min="2" max="2" width="30.77734375" customWidth="1"/>
    <col min="3" max="3" width="9.21875" customWidth="1"/>
    <col min="4" max="4" width="9.44140625" customWidth="1"/>
    <col min="5" max="5" width="17.21875" customWidth="1"/>
    <col min="6" max="7" width="20.6640625" customWidth="1"/>
    <col min="8" max="8" width="25.21875" customWidth="1"/>
    <col min="9" max="9" width="25.44140625" customWidth="1"/>
  </cols>
  <sheetData>
    <row r="1" spans="1:26" ht="15.75" customHeight="1" x14ac:dyDescent="0.25">
      <c r="A1" s="38"/>
      <c r="B1" s="103"/>
      <c r="C1" s="103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 spans="1:26" ht="15.75" customHeight="1" x14ac:dyDescent="0.25">
      <c r="A2" s="150"/>
      <c r="B2" s="151"/>
      <c r="C2" s="151"/>
      <c r="D2" s="151"/>
      <c r="E2" s="151"/>
      <c r="F2" s="151"/>
      <c r="G2" s="151"/>
    </row>
    <row r="3" spans="1:26" ht="15.75" customHeight="1" x14ac:dyDescent="0.25">
      <c r="A3" s="38"/>
      <c r="B3" s="38"/>
      <c r="C3" s="39"/>
      <c r="D3" s="38"/>
      <c r="E3" s="36"/>
      <c r="F3" s="37"/>
      <c r="G3" s="38"/>
      <c r="H3" s="38"/>
      <c r="I3" s="38"/>
      <c r="J3" s="38"/>
    </row>
    <row r="4" spans="1:26" ht="15.75" customHeight="1" x14ac:dyDescent="0.25">
      <c r="A4" s="152" t="s">
        <v>49</v>
      </c>
      <c r="B4" s="153"/>
      <c r="C4" s="154">
        <f>'SIKLUS MENU'!D3</f>
        <v>46225</v>
      </c>
      <c r="D4" s="153"/>
      <c r="E4" s="153"/>
      <c r="F4" s="153"/>
      <c r="G4" s="153"/>
      <c r="H4" s="38"/>
      <c r="I4" s="38"/>
      <c r="J4" s="38"/>
    </row>
    <row r="5" spans="1:26" ht="15.75" customHeight="1" x14ac:dyDescent="0.3">
      <c r="A5" s="40" t="s">
        <v>50</v>
      </c>
      <c r="B5" s="41">
        <f>C4-1</f>
        <v>46224</v>
      </c>
      <c r="C5" s="42"/>
      <c r="D5" s="43"/>
      <c r="E5" s="44"/>
      <c r="F5" s="45"/>
      <c r="G5" s="46"/>
      <c r="H5" s="38"/>
      <c r="I5" s="38"/>
      <c r="J5" s="38"/>
    </row>
    <row r="6" spans="1:26" ht="15.75" customHeight="1" x14ac:dyDescent="0.3">
      <c r="A6" s="40" t="s">
        <v>51</v>
      </c>
      <c r="B6" s="155" t="s">
        <v>52</v>
      </c>
      <c r="C6" s="153"/>
      <c r="D6" s="153"/>
      <c r="E6" s="153"/>
      <c r="F6" s="153"/>
      <c r="G6" s="156"/>
      <c r="H6" s="38"/>
      <c r="I6" s="38"/>
      <c r="J6" s="38"/>
    </row>
    <row r="7" spans="1:26" ht="15.75" customHeight="1" x14ac:dyDescent="0.3">
      <c r="A7" s="40" t="s">
        <v>53</v>
      </c>
      <c r="B7" s="157">
        <f>C4</f>
        <v>46225</v>
      </c>
      <c r="C7" s="153"/>
      <c r="D7" s="153"/>
      <c r="E7" s="153"/>
      <c r="F7" s="153"/>
      <c r="G7" s="156"/>
      <c r="H7" s="38"/>
      <c r="I7" s="38"/>
      <c r="J7" s="38"/>
    </row>
    <row r="8" spans="1:26" ht="15.75" customHeight="1" x14ac:dyDescent="0.3">
      <c r="A8" s="158" t="s">
        <v>54</v>
      </c>
      <c r="B8" s="47" t="s">
        <v>55</v>
      </c>
      <c r="C8" s="84">
        <v>643</v>
      </c>
      <c r="D8" s="49">
        <v>8000</v>
      </c>
      <c r="E8" s="50">
        <f t="shared" ref="E8:E9" si="0">D8*C8</f>
        <v>5144000</v>
      </c>
      <c r="F8" s="51"/>
      <c r="G8" s="52"/>
      <c r="H8" s="53"/>
      <c r="I8" s="53"/>
      <c r="J8" s="53"/>
    </row>
    <row r="9" spans="1:26" ht="15.75" customHeight="1" x14ac:dyDescent="0.3">
      <c r="A9" s="159"/>
      <c r="B9" s="54" t="s">
        <v>56</v>
      </c>
      <c r="C9" s="85">
        <v>506</v>
      </c>
      <c r="D9" s="55">
        <v>10000</v>
      </c>
      <c r="E9" s="50">
        <f t="shared" si="0"/>
        <v>5060000</v>
      </c>
      <c r="F9" s="56"/>
      <c r="G9" s="57"/>
      <c r="H9" s="53"/>
      <c r="I9" s="53"/>
      <c r="J9" s="53"/>
    </row>
    <row r="10" spans="1:26" ht="15.75" customHeight="1" x14ac:dyDescent="0.35">
      <c r="A10" s="58"/>
      <c r="B10" s="59" t="s">
        <v>57</v>
      </c>
      <c r="C10" s="160">
        <f>SUM(C8:C9)</f>
        <v>1149</v>
      </c>
      <c r="D10" s="153"/>
      <c r="E10" s="60">
        <f>SUM(E8:E9)</f>
        <v>10204000</v>
      </c>
      <c r="F10" s="56"/>
      <c r="G10" s="57"/>
      <c r="H10" s="53"/>
      <c r="I10" s="53"/>
      <c r="J10" s="53"/>
    </row>
    <row r="11" spans="1:26" ht="15.75" customHeight="1" x14ac:dyDescent="0.25">
      <c r="A11" s="166" t="s">
        <v>58</v>
      </c>
      <c r="B11" s="167"/>
      <c r="C11" s="167"/>
      <c r="D11" s="167"/>
      <c r="E11" s="167"/>
      <c r="F11" s="167"/>
      <c r="G11" s="168"/>
      <c r="H11" s="38"/>
      <c r="I11" s="38"/>
      <c r="J11" s="38"/>
    </row>
    <row r="12" spans="1:26" ht="15.75" customHeight="1" x14ac:dyDescent="0.25">
      <c r="A12" s="169"/>
      <c r="B12" s="170"/>
      <c r="C12" s="170"/>
      <c r="D12" s="170"/>
      <c r="E12" s="170"/>
      <c r="F12" s="170"/>
      <c r="G12" s="171"/>
      <c r="H12" s="38"/>
      <c r="I12" s="38"/>
      <c r="J12" s="38"/>
    </row>
    <row r="13" spans="1:26" ht="15.75" customHeight="1" x14ac:dyDescent="0.3">
      <c r="A13" s="61" t="s">
        <v>59</v>
      </c>
      <c r="B13" s="182"/>
      <c r="C13" s="151"/>
      <c r="D13" s="151"/>
      <c r="E13" s="151"/>
      <c r="F13" s="151"/>
      <c r="G13" s="173"/>
      <c r="H13" s="38"/>
      <c r="I13" s="38"/>
      <c r="J13" s="38"/>
    </row>
    <row r="14" spans="1:26" ht="15.75" customHeight="1" x14ac:dyDescent="0.25">
      <c r="A14" s="38"/>
      <c r="B14" s="38"/>
      <c r="C14" s="39"/>
      <c r="D14" s="38"/>
      <c r="E14" s="36"/>
      <c r="F14" s="37"/>
      <c r="G14" s="86"/>
      <c r="H14" s="38"/>
      <c r="I14" s="38"/>
      <c r="J14" s="38"/>
    </row>
    <row r="15" spans="1:26" ht="15.75" customHeight="1" x14ac:dyDescent="0.25">
      <c r="A15" s="183" t="s">
        <v>60</v>
      </c>
      <c r="B15" s="183" t="s">
        <v>61</v>
      </c>
      <c r="C15" s="184" t="s">
        <v>62</v>
      </c>
      <c r="D15" s="183" t="s">
        <v>63</v>
      </c>
      <c r="E15" s="180" t="s">
        <v>64</v>
      </c>
      <c r="F15" s="183" t="s">
        <v>65</v>
      </c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spans="1:26" ht="15.75" customHeight="1" x14ac:dyDescent="0.25">
      <c r="A16" s="162"/>
      <c r="B16" s="162"/>
      <c r="C16" s="162"/>
      <c r="D16" s="162"/>
      <c r="E16" s="162"/>
      <c r="F16" s="1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spans="1:9" ht="15.75" customHeight="1" x14ac:dyDescent="0.3">
      <c r="A17" s="65">
        <v>1</v>
      </c>
      <c r="B17" s="70" t="s">
        <v>66</v>
      </c>
      <c r="C17" s="65">
        <v>72</v>
      </c>
      <c r="D17" s="65" t="s">
        <v>67</v>
      </c>
      <c r="E17" s="66">
        <v>15500</v>
      </c>
      <c r="F17" s="104">
        <f t="shared" ref="F17:F46" si="1">C17*E17</f>
        <v>1116000</v>
      </c>
      <c r="G17" s="88"/>
      <c r="H17" s="89"/>
      <c r="I17" s="89"/>
    </row>
    <row r="18" spans="1:9" ht="15.75" customHeight="1" x14ac:dyDescent="0.3">
      <c r="A18" s="65">
        <v>2</v>
      </c>
      <c r="B18" s="105" t="s">
        <v>112</v>
      </c>
      <c r="C18" s="71">
        <v>50</v>
      </c>
      <c r="D18" s="65" t="s">
        <v>67</v>
      </c>
      <c r="E18" s="72">
        <v>63000</v>
      </c>
      <c r="F18" s="104">
        <f t="shared" si="1"/>
        <v>3150000</v>
      </c>
      <c r="G18" s="88"/>
      <c r="H18" s="89"/>
      <c r="I18" s="89"/>
    </row>
    <row r="19" spans="1:9" ht="15.75" customHeight="1" x14ac:dyDescent="0.3">
      <c r="A19" s="65">
        <v>3</v>
      </c>
      <c r="B19" s="73" t="s">
        <v>72</v>
      </c>
      <c r="C19" s="106">
        <v>1.5</v>
      </c>
      <c r="D19" s="65" t="s">
        <v>67</v>
      </c>
      <c r="E19" s="66">
        <v>44000</v>
      </c>
      <c r="F19" s="104">
        <f t="shared" si="1"/>
        <v>66000</v>
      </c>
      <c r="G19" s="88"/>
      <c r="H19" s="89"/>
      <c r="I19" s="89"/>
    </row>
    <row r="20" spans="1:9" ht="15.75" customHeight="1" x14ac:dyDescent="0.3">
      <c r="A20" s="65">
        <v>4</v>
      </c>
      <c r="B20" s="73" t="s">
        <v>73</v>
      </c>
      <c r="C20" s="65">
        <v>1.5</v>
      </c>
      <c r="D20" s="65" t="s">
        <v>67</v>
      </c>
      <c r="E20" s="66">
        <v>46000</v>
      </c>
      <c r="F20" s="104">
        <f t="shared" si="1"/>
        <v>69000</v>
      </c>
      <c r="G20" s="88"/>
      <c r="H20" s="89"/>
      <c r="I20" s="89"/>
    </row>
    <row r="21" spans="1:9" ht="15.75" customHeight="1" x14ac:dyDescent="0.3">
      <c r="A21" s="65">
        <v>5</v>
      </c>
      <c r="B21" s="73" t="s">
        <v>113</v>
      </c>
      <c r="C21" s="65">
        <v>1</v>
      </c>
      <c r="D21" s="65" t="s">
        <v>114</v>
      </c>
      <c r="E21" s="66">
        <v>8000</v>
      </c>
      <c r="F21" s="104">
        <f t="shared" si="1"/>
        <v>8000</v>
      </c>
      <c r="G21" s="88"/>
      <c r="H21" s="89"/>
      <c r="I21" s="89"/>
    </row>
    <row r="22" spans="1:9" ht="15.75" customHeight="1" x14ac:dyDescent="0.3">
      <c r="A22" s="65">
        <v>6</v>
      </c>
      <c r="B22" s="73" t="s">
        <v>115</v>
      </c>
      <c r="C22" s="65">
        <v>1</v>
      </c>
      <c r="D22" s="65" t="s">
        <v>114</v>
      </c>
      <c r="E22" s="66">
        <v>13000</v>
      </c>
      <c r="F22" s="104">
        <f t="shared" si="1"/>
        <v>13000</v>
      </c>
      <c r="G22" s="88"/>
      <c r="H22" s="89"/>
      <c r="I22" s="89"/>
    </row>
    <row r="23" spans="1:9" ht="15.75" customHeight="1" x14ac:dyDescent="0.3">
      <c r="A23" s="65">
        <v>7</v>
      </c>
      <c r="B23" s="73" t="s">
        <v>116</v>
      </c>
      <c r="C23" s="65">
        <v>2</v>
      </c>
      <c r="D23" s="65" t="s">
        <v>67</v>
      </c>
      <c r="E23" s="66">
        <v>23000</v>
      </c>
      <c r="F23" s="104">
        <f t="shared" si="1"/>
        <v>46000</v>
      </c>
      <c r="G23" s="88"/>
      <c r="H23" s="89"/>
      <c r="I23" s="89"/>
    </row>
    <row r="24" spans="1:9" ht="15.75" customHeight="1" x14ac:dyDescent="0.3">
      <c r="A24" s="65">
        <v>8</v>
      </c>
      <c r="B24" s="73" t="s">
        <v>70</v>
      </c>
      <c r="C24" s="65">
        <v>2</v>
      </c>
      <c r="D24" s="71" t="s">
        <v>67</v>
      </c>
      <c r="E24" s="66">
        <v>14000</v>
      </c>
      <c r="F24" s="104">
        <f t="shared" si="1"/>
        <v>28000</v>
      </c>
      <c r="G24" s="88"/>
      <c r="H24" s="89"/>
      <c r="I24" s="89"/>
    </row>
    <row r="25" spans="1:9" ht="15.75" customHeight="1" x14ac:dyDescent="0.3">
      <c r="A25" s="65">
        <v>9</v>
      </c>
      <c r="B25" s="73" t="s">
        <v>71</v>
      </c>
      <c r="C25" s="65">
        <v>2</v>
      </c>
      <c r="D25" s="65" t="s">
        <v>67</v>
      </c>
      <c r="E25" s="66">
        <v>51000</v>
      </c>
      <c r="F25" s="104">
        <f t="shared" si="1"/>
        <v>102000</v>
      </c>
      <c r="G25" s="88"/>
      <c r="H25" s="89"/>
      <c r="I25" s="89"/>
    </row>
    <row r="26" spans="1:9" ht="15.75" customHeight="1" x14ac:dyDescent="0.3">
      <c r="A26" s="65">
        <v>10</v>
      </c>
      <c r="B26" s="73" t="s">
        <v>77</v>
      </c>
      <c r="C26" s="65">
        <v>0.25</v>
      </c>
      <c r="D26" s="65" t="s">
        <v>67</v>
      </c>
      <c r="E26" s="66">
        <v>171000</v>
      </c>
      <c r="F26" s="104">
        <f t="shared" si="1"/>
        <v>42750</v>
      </c>
      <c r="G26" s="88"/>
      <c r="H26" s="89"/>
      <c r="I26" s="89"/>
    </row>
    <row r="27" spans="1:9" ht="15.75" customHeight="1" x14ac:dyDescent="0.3">
      <c r="A27" s="65">
        <v>11</v>
      </c>
      <c r="B27" s="90" t="s">
        <v>117</v>
      </c>
      <c r="C27" s="65">
        <v>20</v>
      </c>
      <c r="D27" s="71" t="s">
        <v>67</v>
      </c>
      <c r="E27" s="66">
        <v>7000</v>
      </c>
      <c r="F27" s="104">
        <f t="shared" si="1"/>
        <v>140000</v>
      </c>
      <c r="G27" s="88"/>
      <c r="H27" s="89"/>
      <c r="I27" s="89"/>
    </row>
    <row r="28" spans="1:9" ht="15.75" customHeight="1" x14ac:dyDescent="0.3">
      <c r="A28" s="65">
        <v>12</v>
      </c>
      <c r="B28" s="70" t="s">
        <v>81</v>
      </c>
      <c r="C28" s="65">
        <v>15</v>
      </c>
      <c r="D28" s="65" t="s">
        <v>67</v>
      </c>
      <c r="E28" s="66">
        <v>17000</v>
      </c>
      <c r="F28" s="104">
        <f t="shared" si="1"/>
        <v>255000</v>
      </c>
      <c r="G28" s="88"/>
      <c r="H28" s="89"/>
      <c r="I28" s="89"/>
    </row>
    <row r="29" spans="1:9" ht="15.75" customHeight="1" x14ac:dyDescent="0.3">
      <c r="A29" s="65">
        <v>13</v>
      </c>
      <c r="B29" s="90" t="s">
        <v>118</v>
      </c>
      <c r="C29" s="65">
        <v>58</v>
      </c>
      <c r="D29" s="65" t="s">
        <v>119</v>
      </c>
      <c r="E29" s="66">
        <v>11000</v>
      </c>
      <c r="F29" s="104">
        <f t="shared" si="1"/>
        <v>638000</v>
      </c>
      <c r="G29" s="88"/>
      <c r="H29" s="89"/>
      <c r="I29" s="89"/>
    </row>
    <row r="30" spans="1:9" ht="15.75" customHeight="1" x14ac:dyDescent="0.3">
      <c r="A30" s="65">
        <v>14</v>
      </c>
      <c r="B30" s="90" t="s">
        <v>79</v>
      </c>
      <c r="C30" s="65">
        <v>0.25</v>
      </c>
      <c r="D30" s="65" t="s">
        <v>67</v>
      </c>
      <c r="E30" s="66">
        <v>51000</v>
      </c>
      <c r="F30" s="104">
        <f t="shared" si="1"/>
        <v>12750</v>
      </c>
      <c r="G30" s="88"/>
      <c r="H30" s="89"/>
      <c r="I30" s="89"/>
    </row>
    <row r="31" spans="1:9" ht="15.75" customHeight="1" x14ac:dyDescent="0.3">
      <c r="A31" s="65">
        <v>15</v>
      </c>
      <c r="B31" s="90" t="s">
        <v>120</v>
      </c>
      <c r="C31" s="65">
        <v>0.25</v>
      </c>
      <c r="D31" s="65" t="s">
        <v>67</v>
      </c>
      <c r="E31" s="66">
        <v>36000</v>
      </c>
      <c r="F31" s="104">
        <f t="shared" si="1"/>
        <v>9000</v>
      </c>
      <c r="G31" s="88"/>
      <c r="H31" s="89"/>
      <c r="I31" s="89"/>
    </row>
    <row r="32" spans="1:9" ht="15.75" customHeight="1" x14ac:dyDescent="0.3">
      <c r="A32" s="65">
        <v>16</v>
      </c>
      <c r="B32" s="73" t="s">
        <v>121</v>
      </c>
      <c r="C32" s="65">
        <v>1</v>
      </c>
      <c r="D32" s="65" t="s">
        <v>67</v>
      </c>
      <c r="E32" s="66">
        <v>24000</v>
      </c>
      <c r="F32" s="104">
        <f t="shared" si="1"/>
        <v>24000</v>
      </c>
      <c r="G32" s="88"/>
      <c r="H32" s="89"/>
      <c r="I32" s="89"/>
    </row>
    <row r="33" spans="1:9" ht="15.75" customHeight="1" x14ac:dyDescent="0.3">
      <c r="A33" s="65">
        <v>17</v>
      </c>
      <c r="B33" s="90" t="s">
        <v>92</v>
      </c>
      <c r="C33" s="65">
        <v>6</v>
      </c>
      <c r="D33" s="65" t="s">
        <v>67</v>
      </c>
      <c r="E33" s="66">
        <v>39000</v>
      </c>
      <c r="F33" s="104">
        <f t="shared" si="1"/>
        <v>234000</v>
      </c>
      <c r="G33" s="88"/>
      <c r="H33" s="89"/>
      <c r="I33" s="89"/>
    </row>
    <row r="34" spans="1:9" ht="15.75" customHeight="1" x14ac:dyDescent="0.3">
      <c r="A34" s="65">
        <v>18</v>
      </c>
      <c r="B34" s="90" t="s">
        <v>85</v>
      </c>
      <c r="C34" s="65">
        <v>2</v>
      </c>
      <c r="D34" s="65" t="s">
        <v>86</v>
      </c>
      <c r="E34" s="66">
        <v>241000</v>
      </c>
      <c r="F34" s="104">
        <f t="shared" si="1"/>
        <v>482000</v>
      </c>
      <c r="G34" s="88"/>
      <c r="H34" s="89"/>
      <c r="I34" s="89"/>
    </row>
    <row r="35" spans="1:9" ht="15.75" customHeight="1" x14ac:dyDescent="0.3">
      <c r="A35" s="65">
        <v>19</v>
      </c>
      <c r="B35" s="90" t="s">
        <v>122</v>
      </c>
      <c r="C35" s="65">
        <v>87</v>
      </c>
      <c r="D35" s="65" t="s">
        <v>67</v>
      </c>
      <c r="E35" s="66">
        <v>13000</v>
      </c>
      <c r="F35" s="104">
        <f t="shared" si="1"/>
        <v>1131000</v>
      </c>
      <c r="G35" s="88"/>
      <c r="H35" s="89"/>
      <c r="I35" s="89"/>
    </row>
    <row r="36" spans="1:9" ht="15.75" customHeight="1" x14ac:dyDescent="0.3">
      <c r="A36" s="65">
        <v>20</v>
      </c>
      <c r="B36" s="90" t="s">
        <v>88</v>
      </c>
      <c r="C36" s="65">
        <v>8</v>
      </c>
      <c r="D36" s="65" t="s">
        <v>67</v>
      </c>
      <c r="E36" s="107">
        <v>15000</v>
      </c>
      <c r="F36" s="104">
        <f t="shared" si="1"/>
        <v>120000</v>
      </c>
      <c r="G36" s="88"/>
      <c r="H36" s="89"/>
      <c r="I36" s="89"/>
    </row>
    <row r="37" spans="1:9" ht="15.75" customHeight="1" x14ac:dyDescent="0.3">
      <c r="A37" s="65">
        <v>21</v>
      </c>
      <c r="B37" s="90" t="s">
        <v>123</v>
      </c>
      <c r="C37" s="65">
        <v>65</v>
      </c>
      <c r="D37" s="65" t="s">
        <v>67</v>
      </c>
      <c r="E37" s="107">
        <v>35000</v>
      </c>
      <c r="F37" s="104">
        <f t="shared" si="1"/>
        <v>2275000</v>
      </c>
      <c r="G37" s="88"/>
      <c r="H37" s="89"/>
      <c r="I37" s="89"/>
    </row>
    <row r="38" spans="1:9" ht="15.75" customHeight="1" x14ac:dyDescent="0.3">
      <c r="A38" s="65">
        <v>22</v>
      </c>
      <c r="B38" s="90" t="s">
        <v>84</v>
      </c>
      <c r="C38" s="65">
        <v>2</v>
      </c>
      <c r="D38" s="65" t="s">
        <v>67</v>
      </c>
      <c r="E38" s="107">
        <v>20000</v>
      </c>
      <c r="F38" s="104">
        <f t="shared" si="1"/>
        <v>40000</v>
      </c>
      <c r="G38" s="88"/>
      <c r="H38" s="89"/>
      <c r="I38" s="89"/>
    </row>
    <row r="39" spans="1:9" ht="15.75" customHeight="1" x14ac:dyDescent="0.3">
      <c r="A39" s="65">
        <v>23</v>
      </c>
      <c r="B39" s="108"/>
      <c r="C39" s="65"/>
      <c r="D39" s="65"/>
      <c r="E39" s="107"/>
      <c r="F39" s="104">
        <f t="shared" si="1"/>
        <v>0</v>
      </c>
      <c r="G39" s="88"/>
      <c r="H39" s="89"/>
      <c r="I39" s="89"/>
    </row>
    <row r="40" spans="1:9" ht="15.75" customHeight="1" x14ac:dyDescent="0.3">
      <c r="A40" s="65">
        <v>24</v>
      </c>
      <c r="B40" s="108"/>
      <c r="C40" s="65"/>
      <c r="D40" s="65"/>
      <c r="E40" s="107"/>
      <c r="F40" s="104">
        <f t="shared" si="1"/>
        <v>0</v>
      </c>
      <c r="G40" s="88"/>
      <c r="H40" s="89"/>
      <c r="I40" s="89"/>
    </row>
    <row r="41" spans="1:9" ht="15.75" customHeight="1" x14ac:dyDescent="0.3">
      <c r="A41" s="65">
        <v>25</v>
      </c>
      <c r="B41" s="108"/>
      <c r="C41" s="65"/>
      <c r="D41" s="65"/>
      <c r="E41" s="107"/>
      <c r="F41" s="104">
        <f t="shared" si="1"/>
        <v>0</v>
      </c>
      <c r="G41" s="88"/>
      <c r="H41" s="89"/>
      <c r="I41" s="89"/>
    </row>
    <row r="42" spans="1:9" ht="15.75" customHeight="1" x14ac:dyDescent="0.3">
      <c r="A42" s="65">
        <v>26</v>
      </c>
      <c r="B42" s="108"/>
      <c r="C42" s="65"/>
      <c r="D42" s="65"/>
      <c r="E42" s="107"/>
      <c r="F42" s="104">
        <f t="shared" si="1"/>
        <v>0</v>
      </c>
      <c r="G42" s="88"/>
      <c r="H42" s="89"/>
      <c r="I42" s="89"/>
    </row>
    <row r="43" spans="1:9" ht="15.75" customHeight="1" x14ac:dyDescent="0.3">
      <c r="A43" s="65">
        <v>27</v>
      </c>
      <c r="B43" s="108"/>
      <c r="C43" s="65"/>
      <c r="D43" s="65"/>
      <c r="E43" s="107"/>
      <c r="F43" s="104">
        <f t="shared" si="1"/>
        <v>0</v>
      </c>
      <c r="G43" s="88"/>
      <c r="H43" s="89"/>
      <c r="I43" s="89"/>
    </row>
    <row r="44" spans="1:9" ht="15.75" customHeight="1" x14ac:dyDescent="0.3">
      <c r="A44" s="65">
        <v>28</v>
      </c>
      <c r="B44" s="109"/>
      <c r="C44" s="65"/>
      <c r="D44" s="65"/>
      <c r="E44" s="110"/>
      <c r="F44" s="104">
        <f t="shared" si="1"/>
        <v>0</v>
      </c>
      <c r="G44" s="88"/>
      <c r="H44" s="89"/>
      <c r="I44" s="89"/>
    </row>
    <row r="45" spans="1:9" ht="15.75" customHeight="1" x14ac:dyDescent="0.3">
      <c r="A45" s="65">
        <v>29</v>
      </c>
      <c r="B45" s="109"/>
      <c r="C45" s="65"/>
      <c r="D45" s="65"/>
      <c r="E45" s="111"/>
      <c r="F45" s="104">
        <f t="shared" si="1"/>
        <v>0</v>
      </c>
      <c r="G45" s="88"/>
      <c r="H45" s="89"/>
      <c r="I45" s="89"/>
    </row>
    <row r="46" spans="1:9" ht="15.75" customHeight="1" x14ac:dyDescent="0.3">
      <c r="A46" s="65">
        <v>30</v>
      </c>
      <c r="B46" s="109"/>
      <c r="C46" s="65"/>
      <c r="D46" s="65"/>
      <c r="E46" s="111"/>
      <c r="F46" s="104">
        <f t="shared" si="1"/>
        <v>0</v>
      </c>
      <c r="G46" s="88"/>
      <c r="H46" s="89"/>
      <c r="I46" s="89"/>
    </row>
    <row r="47" spans="1:9" ht="15.75" customHeight="1" x14ac:dyDescent="0.3">
      <c r="A47" s="181" t="s">
        <v>93</v>
      </c>
      <c r="B47" s="153"/>
      <c r="C47" s="153"/>
      <c r="D47" s="153"/>
      <c r="E47" s="156"/>
      <c r="F47" s="102">
        <f>SUM(F17:F46)</f>
        <v>10001500</v>
      </c>
      <c r="G47" s="88"/>
      <c r="H47" s="89"/>
      <c r="I47" s="89"/>
    </row>
    <row r="48" spans="1:9" ht="15.75" customHeight="1" x14ac:dyDescent="0.25">
      <c r="A48" s="38"/>
      <c r="B48" s="103"/>
      <c r="C48" s="103"/>
      <c r="D48" s="38"/>
      <c r="E48" s="38"/>
      <c r="F48" s="38"/>
      <c r="G48" s="38"/>
    </row>
    <row r="49" spans="1:25" ht="15.75" customHeight="1" x14ac:dyDescent="0.25">
      <c r="A49" s="38"/>
      <c r="B49" s="103"/>
      <c r="C49" s="103"/>
      <c r="D49" s="38"/>
      <c r="E49" s="38"/>
      <c r="F49" s="38"/>
      <c r="G49" s="38"/>
    </row>
    <row r="50" spans="1:25" ht="15.75" customHeight="1" x14ac:dyDescent="0.25">
      <c r="A50" s="38"/>
      <c r="B50" s="103"/>
      <c r="C50" s="103"/>
      <c r="D50" s="38"/>
      <c r="E50" s="38"/>
      <c r="F50" s="38"/>
      <c r="G50" s="38"/>
    </row>
    <row r="51" spans="1:25" ht="15.75" customHeight="1" x14ac:dyDescent="0.25">
      <c r="A51" s="38"/>
      <c r="B51" s="103"/>
      <c r="C51" s="103"/>
      <c r="D51" s="38"/>
      <c r="E51" s="38"/>
      <c r="F51" s="38"/>
      <c r="G51" s="38"/>
    </row>
    <row r="52" spans="1:25" ht="15.75" customHeight="1" x14ac:dyDescent="0.25">
      <c r="A52" s="38"/>
      <c r="B52" s="103"/>
      <c r="C52" s="103"/>
      <c r="D52" s="38"/>
      <c r="E52" s="38"/>
      <c r="F52" s="38"/>
      <c r="G52" s="38"/>
    </row>
    <row r="53" spans="1:25" ht="15.75" customHeight="1" x14ac:dyDescent="0.25">
      <c r="A53" s="38"/>
      <c r="B53" s="103"/>
      <c r="C53" s="103"/>
      <c r="D53" s="38"/>
      <c r="E53" s="38"/>
      <c r="F53" s="38"/>
      <c r="G53" s="38"/>
    </row>
    <row r="54" spans="1:25" ht="15.75" customHeight="1" x14ac:dyDescent="0.25">
      <c r="A54" s="38"/>
      <c r="B54" s="103"/>
      <c r="C54" s="103"/>
      <c r="D54" s="38"/>
      <c r="E54" s="38"/>
      <c r="F54" s="38"/>
      <c r="G54" s="38"/>
    </row>
    <row r="55" spans="1:25" ht="15.75" customHeight="1" x14ac:dyDescent="0.25">
      <c r="A55" s="38"/>
      <c r="B55" s="103"/>
      <c r="C55" s="103"/>
      <c r="D55" s="38"/>
      <c r="E55" s="38"/>
      <c r="F55" s="38"/>
      <c r="G55" s="38"/>
    </row>
    <row r="56" spans="1:25" ht="15.75" customHeight="1" x14ac:dyDescent="0.25">
      <c r="A56" s="38"/>
      <c r="B56" s="103"/>
      <c r="C56" s="103"/>
      <c r="D56" s="38"/>
      <c r="E56" s="38"/>
      <c r="F56" s="38"/>
      <c r="G56" s="38"/>
    </row>
    <row r="57" spans="1:25" ht="15.75" customHeight="1" x14ac:dyDescent="0.25">
      <c r="A57" s="38"/>
      <c r="B57" s="103"/>
      <c r="C57" s="103"/>
      <c r="D57" s="38"/>
      <c r="E57" s="38"/>
      <c r="F57" s="38"/>
      <c r="G57" s="38"/>
    </row>
    <row r="58" spans="1:25" ht="15.75" customHeight="1" x14ac:dyDescent="0.25">
      <c r="A58" s="38"/>
      <c r="B58" s="103"/>
      <c r="C58" s="103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</row>
    <row r="59" spans="1:25" ht="15.75" customHeight="1" x14ac:dyDescent="0.25">
      <c r="A59" s="38"/>
      <c r="B59" s="103"/>
      <c r="C59" s="103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</row>
    <row r="60" spans="1:25" ht="15.75" customHeight="1" x14ac:dyDescent="0.25">
      <c r="A60" s="38"/>
      <c r="B60" s="103"/>
      <c r="C60" s="103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</row>
    <row r="61" spans="1:25" ht="15.75" customHeight="1" x14ac:dyDescent="0.25">
      <c r="A61" s="38"/>
      <c r="B61" s="103"/>
      <c r="C61" s="103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</row>
    <row r="62" spans="1:25" ht="15.75" customHeight="1" x14ac:dyDescent="0.25">
      <c r="A62" s="38"/>
      <c r="B62" s="103"/>
      <c r="C62" s="103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</row>
    <row r="63" spans="1:25" ht="15.75" customHeight="1" x14ac:dyDescent="0.25">
      <c r="A63" s="38"/>
      <c r="B63" s="103"/>
      <c r="C63" s="103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</row>
    <row r="64" spans="1:25" ht="15.75" customHeight="1" x14ac:dyDescent="0.25">
      <c r="A64" s="38"/>
      <c r="B64" s="103"/>
      <c r="C64" s="103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</row>
    <row r="65" spans="1:25" ht="15.75" customHeight="1" x14ac:dyDescent="0.25">
      <c r="A65" s="38"/>
      <c r="B65" s="103"/>
      <c r="C65" s="103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</row>
    <row r="66" spans="1:25" ht="15.75" customHeight="1" x14ac:dyDescent="0.25">
      <c r="A66" s="38"/>
      <c r="B66" s="103"/>
      <c r="C66" s="103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</row>
    <row r="67" spans="1:25" ht="15.75" customHeight="1" x14ac:dyDescent="0.25">
      <c r="A67" s="38"/>
      <c r="B67" s="103"/>
      <c r="C67" s="103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</row>
    <row r="68" spans="1:25" ht="15.75" customHeight="1" x14ac:dyDescent="0.25">
      <c r="A68" s="38"/>
      <c r="B68" s="103"/>
      <c r="C68" s="103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</row>
    <row r="69" spans="1:25" ht="15.75" customHeight="1" x14ac:dyDescent="0.25">
      <c r="A69" s="38"/>
      <c r="B69" s="103"/>
      <c r="C69" s="103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</row>
    <row r="70" spans="1:25" ht="15.75" customHeight="1" x14ac:dyDescent="0.25">
      <c r="A70" s="38"/>
      <c r="B70" s="103"/>
      <c r="C70" s="103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</row>
    <row r="71" spans="1:25" ht="15.75" customHeight="1" x14ac:dyDescent="0.25">
      <c r="A71" s="38"/>
      <c r="B71" s="103"/>
      <c r="C71" s="103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</row>
    <row r="72" spans="1:25" ht="15.75" customHeight="1" x14ac:dyDescent="0.25">
      <c r="A72" s="38"/>
      <c r="B72" s="103"/>
      <c r="C72" s="103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</row>
    <row r="73" spans="1:25" ht="15.75" customHeight="1" x14ac:dyDescent="0.25">
      <c r="A73" s="38"/>
      <c r="B73" s="103"/>
      <c r="C73" s="103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</row>
    <row r="74" spans="1:25" ht="15.75" customHeight="1" x14ac:dyDescent="0.25">
      <c r="A74" s="38"/>
      <c r="B74" s="103"/>
      <c r="C74" s="103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</row>
    <row r="75" spans="1:25" ht="15.75" customHeight="1" x14ac:dyDescent="0.25">
      <c r="A75" s="38"/>
      <c r="B75" s="103"/>
      <c r="C75" s="103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</row>
    <row r="76" spans="1:25" ht="15.75" customHeight="1" x14ac:dyDescent="0.25">
      <c r="A76" s="38"/>
      <c r="B76" s="103"/>
      <c r="C76" s="103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</row>
    <row r="77" spans="1:25" ht="15.75" customHeight="1" x14ac:dyDescent="0.25">
      <c r="A77" s="38"/>
      <c r="B77" s="103"/>
      <c r="C77" s="103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</row>
    <row r="78" spans="1:25" ht="15.75" customHeight="1" x14ac:dyDescent="0.25">
      <c r="A78" s="38"/>
      <c r="B78" s="103"/>
      <c r="C78" s="103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</row>
    <row r="79" spans="1:25" ht="15.75" customHeight="1" x14ac:dyDescent="0.25">
      <c r="A79" s="38"/>
      <c r="B79" s="103"/>
      <c r="C79" s="103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</row>
    <row r="80" spans="1:25" ht="15.75" customHeight="1" x14ac:dyDescent="0.25">
      <c r="A80" s="38"/>
      <c r="B80" s="103"/>
      <c r="C80" s="103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</row>
    <row r="81" spans="1:25" ht="15.75" customHeight="1" x14ac:dyDescent="0.25">
      <c r="A81" s="38"/>
      <c r="B81" s="103"/>
      <c r="C81" s="103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</row>
    <row r="82" spans="1:25" ht="15.75" customHeight="1" x14ac:dyDescent="0.25">
      <c r="A82" s="38"/>
      <c r="B82" s="103"/>
      <c r="C82" s="10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</row>
    <row r="83" spans="1:25" ht="15.75" customHeight="1" x14ac:dyDescent="0.25">
      <c r="A83" s="38"/>
      <c r="B83" s="103"/>
      <c r="C83" s="103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</row>
    <row r="84" spans="1:25" ht="15.75" customHeight="1" x14ac:dyDescent="0.25">
      <c r="A84" s="38"/>
      <c r="B84" s="103"/>
      <c r="C84" s="103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</row>
    <row r="85" spans="1:25" ht="15.75" customHeight="1" x14ac:dyDescent="0.25">
      <c r="A85" s="38"/>
      <c r="B85" s="103"/>
      <c r="C85" s="103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</row>
    <row r="86" spans="1:25" ht="15.75" customHeight="1" x14ac:dyDescent="0.25">
      <c r="A86" s="38"/>
      <c r="B86" s="103"/>
      <c r="C86" s="103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</row>
    <row r="87" spans="1:25" ht="15.75" customHeight="1" x14ac:dyDescent="0.25">
      <c r="A87" s="38"/>
      <c r="B87" s="103"/>
      <c r="C87" s="103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</row>
    <row r="88" spans="1:25" ht="15.75" customHeight="1" x14ac:dyDescent="0.25">
      <c r="A88" s="38"/>
      <c r="B88" s="103"/>
      <c r="C88" s="103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</row>
    <row r="89" spans="1:25" ht="15.75" customHeight="1" x14ac:dyDescent="0.25">
      <c r="A89" s="38"/>
      <c r="B89" s="103"/>
      <c r="C89" s="103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</row>
    <row r="90" spans="1:25" ht="15.75" customHeight="1" x14ac:dyDescent="0.25">
      <c r="A90" s="38"/>
      <c r="B90" s="103"/>
      <c r="C90" s="103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</row>
    <row r="91" spans="1:25" ht="15.75" customHeight="1" x14ac:dyDescent="0.25">
      <c r="A91" s="38"/>
      <c r="B91" s="103"/>
      <c r="C91" s="103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</row>
    <row r="92" spans="1:25" ht="15.75" customHeight="1" x14ac:dyDescent="0.25">
      <c r="A92" s="38"/>
      <c r="B92" s="103"/>
      <c r="C92" s="103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</row>
    <row r="93" spans="1:25" ht="15.75" customHeight="1" x14ac:dyDescent="0.25">
      <c r="A93" s="38"/>
      <c r="B93" s="103"/>
      <c r="C93" s="103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</row>
    <row r="94" spans="1:25" ht="15.75" customHeight="1" x14ac:dyDescent="0.25">
      <c r="A94" s="38"/>
      <c r="B94" s="103"/>
      <c r="C94" s="103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</row>
    <row r="95" spans="1:25" ht="15.75" customHeight="1" x14ac:dyDescent="0.25">
      <c r="A95" s="38"/>
      <c r="B95" s="103"/>
      <c r="C95" s="103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</row>
    <row r="96" spans="1:25" ht="15.75" customHeight="1" x14ac:dyDescent="0.25">
      <c r="A96" s="38"/>
      <c r="B96" s="103"/>
      <c r="C96" s="103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</row>
    <row r="97" spans="1:25" ht="15.75" customHeight="1" x14ac:dyDescent="0.25">
      <c r="A97" s="38"/>
      <c r="B97" s="103"/>
      <c r="C97" s="103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</row>
    <row r="98" spans="1:25" ht="15.75" customHeight="1" x14ac:dyDescent="0.25">
      <c r="A98" s="38"/>
      <c r="B98" s="103"/>
      <c r="C98" s="103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</row>
    <row r="99" spans="1:25" ht="15.75" customHeight="1" x14ac:dyDescent="0.25">
      <c r="A99" s="38"/>
      <c r="B99" s="103"/>
      <c r="C99" s="103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</row>
    <row r="100" spans="1:25" ht="15.75" customHeight="1" x14ac:dyDescent="0.25">
      <c r="A100" s="38"/>
      <c r="B100" s="103"/>
      <c r="C100" s="103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</row>
    <row r="101" spans="1:25" ht="15.75" customHeight="1" x14ac:dyDescent="0.25">
      <c r="A101" s="38"/>
      <c r="B101" s="103"/>
      <c r="C101" s="103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</row>
    <row r="102" spans="1:25" ht="15.75" customHeight="1" x14ac:dyDescent="0.25">
      <c r="A102" s="38"/>
      <c r="B102" s="103"/>
      <c r="C102" s="103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</row>
    <row r="103" spans="1:25" ht="15.75" customHeight="1" x14ac:dyDescent="0.25">
      <c r="A103" s="38"/>
      <c r="B103" s="103"/>
      <c r="C103" s="103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</row>
    <row r="104" spans="1:25" ht="15.75" customHeight="1" x14ac:dyDescent="0.25">
      <c r="A104" s="38"/>
      <c r="B104" s="103"/>
      <c r="C104" s="103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</row>
    <row r="105" spans="1:25" ht="15.75" customHeight="1" x14ac:dyDescent="0.25">
      <c r="A105" s="38"/>
      <c r="B105" s="103"/>
      <c r="C105" s="103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</row>
    <row r="106" spans="1:25" ht="15.75" customHeight="1" x14ac:dyDescent="0.25">
      <c r="A106" s="38"/>
      <c r="B106" s="103"/>
      <c r="C106" s="103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</row>
    <row r="107" spans="1:25" ht="15.75" customHeight="1" x14ac:dyDescent="0.25">
      <c r="A107" s="38"/>
      <c r="B107" s="103"/>
      <c r="C107" s="103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</row>
    <row r="108" spans="1:25" ht="15.75" customHeight="1" x14ac:dyDescent="0.25">
      <c r="A108" s="38"/>
      <c r="B108" s="103"/>
      <c r="C108" s="103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</row>
    <row r="109" spans="1:25" ht="15.75" customHeight="1" x14ac:dyDescent="0.25">
      <c r="A109" s="38"/>
      <c r="B109" s="103"/>
      <c r="C109" s="103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</row>
    <row r="110" spans="1:25" ht="15.75" customHeight="1" x14ac:dyDescent="0.25">
      <c r="A110" s="38"/>
      <c r="B110" s="103"/>
      <c r="C110" s="103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</row>
    <row r="111" spans="1:25" ht="15.75" customHeight="1" x14ac:dyDescent="0.25">
      <c r="A111" s="38"/>
      <c r="B111" s="103"/>
      <c r="C111" s="103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</row>
    <row r="112" spans="1:25" ht="15.75" customHeight="1" x14ac:dyDescent="0.25">
      <c r="A112" s="38"/>
      <c r="B112" s="103"/>
      <c r="C112" s="103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</row>
    <row r="113" spans="1:25" ht="15.75" customHeight="1" x14ac:dyDescent="0.25">
      <c r="A113" s="38"/>
      <c r="B113" s="103"/>
      <c r="C113" s="103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</row>
    <row r="114" spans="1:25" ht="15.75" customHeight="1" x14ac:dyDescent="0.25">
      <c r="A114" s="38"/>
      <c r="B114" s="103"/>
      <c r="C114" s="103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</row>
    <row r="115" spans="1:25" ht="15.75" customHeight="1" x14ac:dyDescent="0.25">
      <c r="A115" s="38"/>
      <c r="B115" s="103"/>
      <c r="C115" s="103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</row>
    <row r="116" spans="1:25" ht="15.75" customHeight="1" x14ac:dyDescent="0.25">
      <c r="A116" s="38"/>
      <c r="B116" s="103"/>
      <c r="C116" s="103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</row>
    <row r="117" spans="1:25" ht="15.75" customHeight="1" x14ac:dyDescent="0.25">
      <c r="A117" s="38"/>
      <c r="B117" s="103"/>
      <c r="C117" s="103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</row>
    <row r="118" spans="1:25" ht="15.75" customHeight="1" x14ac:dyDescent="0.25">
      <c r="A118" s="38"/>
      <c r="B118" s="103"/>
      <c r="C118" s="103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</row>
    <row r="119" spans="1:25" ht="15.75" customHeight="1" x14ac:dyDescent="0.25">
      <c r="A119" s="38"/>
      <c r="B119" s="103"/>
      <c r="C119" s="103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</row>
    <row r="120" spans="1:25" ht="15.75" customHeight="1" x14ac:dyDescent="0.25">
      <c r="A120" s="38"/>
      <c r="B120" s="103"/>
      <c r="C120" s="103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</row>
    <row r="121" spans="1:25" ht="15.75" customHeight="1" x14ac:dyDescent="0.25">
      <c r="A121" s="38"/>
      <c r="B121" s="103"/>
      <c r="C121" s="103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</row>
    <row r="122" spans="1:25" ht="15.75" customHeight="1" x14ac:dyDescent="0.25">
      <c r="A122" s="38"/>
      <c r="B122" s="103"/>
      <c r="C122" s="103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</row>
    <row r="123" spans="1:25" ht="15.75" customHeight="1" x14ac:dyDescent="0.25">
      <c r="A123" s="38"/>
      <c r="B123" s="103"/>
      <c r="C123" s="103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</row>
    <row r="124" spans="1:25" ht="15.75" customHeight="1" x14ac:dyDescent="0.25">
      <c r="A124" s="38"/>
      <c r="B124" s="103"/>
      <c r="C124" s="103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</row>
    <row r="125" spans="1:25" ht="15.75" customHeight="1" x14ac:dyDescent="0.25">
      <c r="A125" s="38"/>
      <c r="B125" s="103"/>
      <c r="C125" s="103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</row>
    <row r="126" spans="1:25" ht="15.75" customHeight="1" x14ac:dyDescent="0.25">
      <c r="A126" s="38"/>
      <c r="B126" s="103"/>
      <c r="C126" s="103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</row>
    <row r="127" spans="1:25" ht="15.75" customHeight="1" x14ac:dyDescent="0.25">
      <c r="A127" s="38"/>
      <c r="B127" s="103"/>
      <c r="C127" s="103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</row>
    <row r="128" spans="1:25" ht="15.75" customHeight="1" x14ac:dyDescent="0.25">
      <c r="A128" s="38"/>
      <c r="B128" s="103"/>
      <c r="C128" s="103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</row>
    <row r="129" spans="1:25" ht="15.75" customHeight="1" x14ac:dyDescent="0.25">
      <c r="A129" s="38"/>
      <c r="B129" s="103"/>
      <c r="C129" s="103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</row>
    <row r="130" spans="1:25" ht="15.75" customHeight="1" x14ac:dyDescent="0.25">
      <c r="A130" s="38"/>
      <c r="B130" s="103"/>
      <c r="C130" s="103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</row>
    <row r="131" spans="1:25" ht="15.75" customHeight="1" x14ac:dyDescent="0.25">
      <c r="A131" s="38"/>
      <c r="B131" s="103"/>
      <c r="C131" s="103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</row>
    <row r="132" spans="1:25" ht="15.75" customHeight="1" x14ac:dyDescent="0.25">
      <c r="A132" s="38"/>
      <c r="B132" s="103"/>
      <c r="C132" s="103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</row>
    <row r="133" spans="1:25" ht="15.75" customHeight="1" x14ac:dyDescent="0.25">
      <c r="A133" s="38"/>
      <c r="B133" s="103"/>
      <c r="C133" s="103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</row>
    <row r="134" spans="1:25" ht="15.75" customHeight="1" x14ac:dyDescent="0.25">
      <c r="A134" s="38"/>
      <c r="B134" s="103"/>
      <c r="C134" s="103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</row>
    <row r="135" spans="1:25" ht="15.75" customHeight="1" x14ac:dyDescent="0.25">
      <c r="A135" s="38"/>
      <c r="B135" s="103"/>
      <c r="C135" s="103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</row>
    <row r="136" spans="1:25" ht="15.75" customHeight="1" x14ac:dyDescent="0.25">
      <c r="A136" s="38"/>
      <c r="B136" s="103"/>
      <c r="C136" s="103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</row>
    <row r="137" spans="1:25" ht="15.75" customHeight="1" x14ac:dyDescent="0.25">
      <c r="A137" s="38"/>
      <c r="B137" s="103"/>
      <c r="C137" s="103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</row>
    <row r="138" spans="1:25" ht="15.75" customHeight="1" x14ac:dyDescent="0.25">
      <c r="A138" s="38"/>
      <c r="B138" s="103"/>
      <c r="C138" s="103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</row>
    <row r="139" spans="1:25" ht="15.75" customHeight="1" x14ac:dyDescent="0.25">
      <c r="A139" s="38"/>
      <c r="B139" s="103"/>
      <c r="C139" s="103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</row>
    <row r="140" spans="1:25" ht="15.75" customHeight="1" x14ac:dyDescent="0.25">
      <c r="A140" s="38"/>
      <c r="B140" s="103"/>
      <c r="C140" s="103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</row>
    <row r="141" spans="1:25" ht="15.75" customHeight="1" x14ac:dyDescent="0.25">
      <c r="A141" s="38"/>
      <c r="B141" s="103"/>
      <c r="C141" s="103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</row>
    <row r="142" spans="1:25" ht="15.75" customHeight="1" x14ac:dyDescent="0.25">
      <c r="A142" s="38"/>
      <c r="B142" s="103"/>
      <c r="C142" s="103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</row>
    <row r="143" spans="1:25" ht="15.75" customHeight="1" x14ac:dyDescent="0.25">
      <c r="A143" s="38"/>
      <c r="B143" s="103"/>
      <c r="C143" s="103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</row>
    <row r="144" spans="1:25" ht="15.75" customHeight="1" x14ac:dyDescent="0.25">
      <c r="A144" s="38"/>
      <c r="B144" s="103"/>
      <c r="C144" s="103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</row>
    <row r="145" spans="1:25" ht="15.75" customHeight="1" x14ac:dyDescent="0.25">
      <c r="A145" s="38"/>
      <c r="B145" s="103"/>
      <c r="C145" s="103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</row>
    <row r="146" spans="1:25" ht="15.75" customHeight="1" x14ac:dyDescent="0.25">
      <c r="A146" s="38"/>
      <c r="B146" s="103"/>
      <c r="C146" s="103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</row>
    <row r="147" spans="1:25" ht="15.75" customHeight="1" x14ac:dyDescent="0.25">
      <c r="A147" s="38"/>
      <c r="B147" s="103"/>
      <c r="C147" s="103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</row>
    <row r="148" spans="1:25" ht="15.75" customHeight="1" x14ac:dyDescent="0.25">
      <c r="A148" s="38"/>
      <c r="B148" s="103"/>
      <c r="C148" s="103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</row>
    <row r="149" spans="1:25" ht="15.75" customHeight="1" x14ac:dyDescent="0.25">
      <c r="A149" s="38"/>
      <c r="B149" s="103"/>
      <c r="C149" s="103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</row>
    <row r="150" spans="1:25" ht="15.75" customHeight="1" x14ac:dyDescent="0.25">
      <c r="A150" s="38"/>
      <c r="B150" s="103"/>
      <c r="C150" s="103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</row>
    <row r="151" spans="1:25" ht="15.75" customHeight="1" x14ac:dyDescent="0.25">
      <c r="A151" s="38"/>
      <c r="B151" s="103"/>
      <c r="C151" s="103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</row>
    <row r="152" spans="1:25" ht="15.75" customHeight="1" x14ac:dyDescent="0.25">
      <c r="A152" s="38"/>
      <c r="B152" s="103"/>
      <c r="C152" s="103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</row>
    <row r="153" spans="1:25" ht="15.75" customHeight="1" x14ac:dyDescent="0.25">
      <c r="A153" s="38"/>
      <c r="B153" s="103"/>
      <c r="C153" s="103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</row>
    <row r="154" spans="1:25" ht="15.75" customHeight="1" x14ac:dyDescent="0.25">
      <c r="A154" s="38"/>
      <c r="B154" s="103"/>
      <c r="C154" s="103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</row>
    <row r="155" spans="1:25" ht="15.75" customHeight="1" x14ac:dyDescent="0.25">
      <c r="A155" s="38"/>
      <c r="B155" s="103"/>
      <c r="C155" s="103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</row>
    <row r="156" spans="1:25" ht="15.75" customHeight="1" x14ac:dyDescent="0.25">
      <c r="A156" s="38"/>
      <c r="B156" s="103"/>
      <c r="C156" s="103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</row>
    <row r="157" spans="1:25" ht="15.75" customHeight="1" x14ac:dyDescent="0.25">
      <c r="A157" s="38"/>
      <c r="B157" s="103"/>
      <c r="C157" s="103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</row>
    <row r="158" spans="1:25" ht="15.75" customHeight="1" x14ac:dyDescent="0.25">
      <c r="A158" s="38"/>
      <c r="B158" s="103"/>
      <c r="C158" s="103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</row>
    <row r="159" spans="1:25" ht="15.75" customHeight="1" x14ac:dyDescent="0.25">
      <c r="A159" s="38"/>
      <c r="B159" s="103"/>
      <c r="C159" s="103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</row>
    <row r="160" spans="1:25" ht="15.75" customHeight="1" x14ac:dyDescent="0.25">
      <c r="A160" s="38"/>
      <c r="B160" s="103"/>
      <c r="C160" s="103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</row>
    <row r="161" spans="1:25" ht="15.75" customHeight="1" x14ac:dyDescent="0.25">
      <c r="A161" s="38"/>
      <c r="B161" s="103"/>
      <c r="C161" s="103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</row>
    <row r="162" spans="1:25" ht="15.75" customHeight="1" x14ac:dyDescent="0.25">
      <c r="A162" s="38"/>
      <c r="B162" s="103"/>
      <c r="C162" s="103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</row>
    <row r="163" spans="1:25" ht="15.75" customHeight="1" x14ac:dyDescent="0.25">
      <c r="A163" s="38"/>
      <c r="B163" s="103"/>
      <c r="C163" s="103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</row>
    <row r="164" spans="1:25" ht="15.75" customHeight="1" x14ac:dyDescent="0.25">
      <c r="A164" s="38"/>
      <c r="B164" s="103"/>
      <c r="C164" s="103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</row>
    <row r="165" spans="1:25" ht="15.75" customHeight="1" x14ac:dyDescent="0.25">
      <c r="A165" s="38"/>
      <c r="B165" s="103"/>
      <c r="C165" s="103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</row>
    <row r="166" spans="1:25" ht="15.75" customHeight="1" x14ac:dyDescent="0.25">
      <c r="A166" s="38"/>
      <c r="B166" s="103"/>
      <c r="C166" s="103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</row>
    <row r="167" spans="1:25" ht="15.75" customHeight="1" x14ac:dyDescent="0.25">
      <c r="A167" s="38"/>
      <c r="B167" s="103"/>
      <c r="C167" s="103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</row>
    <row r="168" spans="1:25" ht="15.75" customHeight="1" x14ac:dyDescent="0.25">
      <c r="A168" s="38"/>
      <c r="B168" s="103"/>
      <c r="C168" s="103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</row>
    <row r="169" spans="1:25" ht="15.75" customHeight="1" x14ac:dyDescent="0.25">
      <c r="A169" s="38"/>
      <c r="B169" s="103"/>
      <c r="C169" s="103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</row>
    <row r="170" spans="1:25" ht="15.75" customHeight="1" x14ac:dyDescent="0.25">
      <c r="A170" s="38"/>
      <c r="B170" s="103"/>
      <c r="C170" s="103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</row>
    <row r="171" spans="1:25" ht="15.75" customHeight="1" x14ac:dyDescent="0.25">
      <c r="A171" s="38"/>
      <c r="B171" s="103"/>
      <c r="C171" s="103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</row>
    <row r="172" spans="1:25" ht="15.75" customHeight="1" x14ac:dyDescent="0.25">
      <c r="A172" s="38"/>
      <c r="B172" s="103"/>
      <c r="C172" s="103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</row>
    <row r="173" spans="1:25" ht="15.75" customHeight="1" x14ac:dyDescent="0.25">
      <c r="A173" s="38"/>
      <c r="B173" s="103"/>
      <c r="C173" s="103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</row>
    <row r="174" spans="1:25" ht="15.75" customHeight="1" x14ac:dyDescent="0.25">
      <c r="A174" s="38"/>
      <c r="B174" s="103"/>
      <c r="C174" s="103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</row>
    <row r="175" spans="1:25" ht="15.75" customHeight="1" x14ac:dyDescent="0.25">
      <c r="A175" s="38"/>
      <c r="B175" s="103"/>
      <c r="C175" s="103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</row>
    <row r="176" spans="1:25" ht="15.75" customHeight="1" x14ac:dyDescent="0.25">
      <c r="A176" s="38"/>
      <c r="B176" s="103"/>
      <c r="C176" s="103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</row>
    <row r="177" spans="1:25" ht="15.75" customHeight="1" x14ac:dyDescent="0.25">
      <c r="A177" s="38"/>
      <c r="B177" s="103"/>
      <c r="C177" s="103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</row>
    <row r="178" spans="1:25" ht="15.75" customHeight="1" x14ac:dyDescent="0.25">
      <c r="A178" s="38"/>
      <c r="B178" s="103"/>
      <c r="C178" s="103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</row>
    <row r="179" spans="1:25" ht="15.75" customHeight="1" x14ac:dyDescent="0.25">
      <c r="A179" s="38"/>
      <c r="B179" s="103"/>
      <c r="C179" s="103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</row>
    <row r="180" spans="1:25" ht="15.75" customHeight="1" x14ac:dyDescent="0.25">
      <c r="A180" s="38"/>
      <c r="B180" s="103"/>
      <c r="C180" s="103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</row>
    <row r="181" spans="1:25" ht="15.75" customHeight="1" x14ac:dyDescent="0.25">
      <c r="A181" s="38"/>
      <c r="B181" s="103"/>
      <c r="C181" s="103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</row>
    <row r="182" spans="1:25" ht="15.75" customHeight="1" x14ac:dyDescent="0.25">
      <c r="A182" s="38"/>
      <c r="B182" s="103"/>
      <c r="C182" s="103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</row>
    <row r="183" spans="1:25" ht="15.75" customHeight="1" x14ac:dyDescent="0.25">
      <c r="A183" s="38"/>
      <c r="B183" s="103"/>
      <c r="C183" s="103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</row>
    <row r="184" spans="1:25" ht="15.75" customHeight="1" x14ac:dyDescent="0.25">
      <c r="A184" s="38"/>
      <c r="B184" s="103"/>
      <c r="C184" s="103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</row>
    <row r="185" spans="1:25" ht="15.75" customHeight="1" x14ac:dyDescent="0.25">
      <c r="A185" s="38"/>
      <c r="B185" s="103"/>
      <c r="C185" s="103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</row>
    <row r="186" spans="1:25" ht="15.75" customHeight="1" x14ac:dyDescent="0.25">
      <c r="A186" s="38"/>
      <c r="B186" s="103"/>
      <c r="C186" s="103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</row>
    <row r="187" spans="1:25" ht="15.75" customHeight="1" x14ac:dyDescent="0.25">
      <c r="A187" s="38"/>
      <c r="B187" s="103"/>
      <c r="C187" s="103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</row>
    <row r="188" spans="1:25" ht="15.75" customHeight="1" x14ac:dyDescent="0.25">
      <c r="A188" s="38"/>
      <c r="B188" s="103"/>
      <c r="C188" s="103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</row>
    <row r="189" spans="1:25" ht="15.75" customHeight="1" x14ac:dyDescent="0.25">
      <c r="A189" s="38"/>
      <c r="B189" s="103"/>
      <c r="C189" s="103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</row>
    <row r="190" spans="1:25" ht="15.75" customHeight="1" x14ac:dyDescent="0.25">
      <c r="A190" s="38"/>
      <c r="B190" s="103"/>
      <c r="C190" s="103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</row>
    <row r="191" spans="1:25" ht="15.75" customHeight="1" x14ac:dyDescent="0.25">
      <c r="A191" s="38"/>
      <c r="B191" s="103"/>
      <c r="C191" s="103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</row>
    <row r="192" spans="1:25" ht="15.75" customHeight="1" x14ac:dyDescent="0.25">
      <c r="A192" s="38"/>
      <c r="B192" s="103"/>
      <c r="C192" s="103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</row>
    <row r="193" spans="1:25" ht="15.75" customHeight="1" x14ac:dyDescent="0.25">
      <c r="A193" s="38"/>
      <c r="B193" s="103"/>
      <c r="C193" s="103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</row>
    <row r="194" spans="1:25" ht="15.75" customHeight="1" x14ac:dyDescent="0.25">
      <c r="A194" s="38"/>
      <c r="B194" s="103"/>
      <c r="C194" s="103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</row>
    <row r="195" spans="1:25" ht="15.75" customHeight="1" x14ac:dyDescent="0.25">
      <c r="A195" s="38"/>
      <c r="B195" s="103"/>
      <c r="C195" s="103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</row>
    <row r="196" spans="1:25" ht="15.75" customHeight="1" x14ac:dyDescent="0.25">
      <c r="A196" s="38"/>
      <c r="B196" s="103"/>
      <c r="C196" s="103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</row>
    <row r="197" spans="1:25" ht="15.75" customHeight="1" x14ac:dyDescent="0.25">
      <c r="A197" s="38"/>
      <c r="B197" s="103"/>
      <c r="C197" s="103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</row>
    <row r="198" spans="1:25" ht="15.75" customHeight="1" x14ac:dyDescent="0.25">
      <c r="A198" s="38"/>
      <c r="B198" s="103"/>
      <c r="C198" s="103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</row>
    <row r="199" spans="1:25" ht="15.75" customHeight="1" x14ac:dyDescent="0.25">
      <c r="A199" s="38"/>
      <c r="B199" s="103"/>
      <c r="C199" s="103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</row>
    <row r="200" spans="1:25" ht="15.75" customHeight="1" x14ac:dyDescent="0.25">
      <c r="A200" s="38"/>
      <c r="B200" s="103"/>
      <c r="C200" s="103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</row>
    <row r="201" spans="1:25" ht="15.75" customHeight="1" x14ac:dyDescent="0.25">
      <c r="A201" s="38"/>
      <c r="B201" s="103"/>
      <c r="C201" s="103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</row>
    <row r="202" spans="1:25" ht="15.75" customHeight="1" x14ac:dyDescent="0.25">
      <c r="A202" s="38"/>
      <c r="B202" s="103"/>
      <c r="C202" s="103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</row>
    <row r="203" spans="1:25" ht="15.75" customHeight="1" x14ac:dyDescent="0.25">
      <c r="A203" s="38"/>
      <c r="B203" s="103"/>
      <c r="C203" s="103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</row>
    <row r="204" spans="1:25" ht="15.75" customHeight="1" x14ac:dyDescent="0.25">
      <c r="A204" s="38"/>
      <c r="B204" s="103"/>
      <c r="C204" s="103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</row>
    <row r="205" spans="1:25" ht="15.75" customHeight="1" x14ac:dyDescent="0.25">
      <c r="A205" s="38"/>
      <c r="B205" s="103"/>
      <c r="C205" s="103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</row>
    <row r="206" spans="1:25" ht="15.75" customHeight="1" x14ac:dyDescent="0.25">
      <c r="A206" s="38"/>
      <c r="B206" s="103"/>
      <c r="C206" s="103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</row>
    <row r="207" spans="1:25" ht="15.75" customHeight="1" x14ac:dyDescent="0.25">
      <c r="A207" s="38"/>
      <c r="B207" s="103"/>
      <c r="C207" s="103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</row>
    <row r="208" spans="1:25" ht="15.75" customHeight="1" x14ac:dyDescent="0.25">
      <c r="A208" s="38"/>
      <c r="B208" s="103"/>
      <c r="C208" s="103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</row>
    <row r="209" spans="1:25" ht="15.75" customHeight="1" x14ac:dyDescent="0.25">
      <c r="A209" s="38"/>
      <c r="B209" s="103"/>
      <c r="C209" s="103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</row>
    <row r="210" spans="1:25" ht="15.75" customHeight="1" x14ac:dyDescent="0.25">
      <c r="A210" s="38"/>
      <c r="B210" s="103"/>
      <c r="C210" s="103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</row>
    <row r="211" spans="1:25" ht="15.75" customHeight="1" x14ac:dyDescent="0.25">
      <c r="A211" s="38"/>
      <c r="B211" s="103"/>
      <c r="C211" s="103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</row>
    <row r="212" spans="1:25" ht="15.75" customHeight="1" x14ac:dyDescent="0.25">
      <c r="A212" s="38"/>
      <c r="B212" s="103"/>
      <c r="C212" s="103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</row>
    <row r="213" spans="1:25" ht="15.75" customHeight="1" x14ac:dyDescent="0.25">
      <c r="A213" s="38"/>
      <c r="B213" s="103"/>
      <c r="C213" s="103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</row>
    <row r="214" spans="1:25" ht="15.75" customHeight="1" x14ac:dyDescent="0.25">
      <c r="A214" s="38"/>
      <c r="B214" s="103"/>
      <c r="C214" s="103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</row>
    <row r="215" spans="1:25" ht="15.75" customHeight="1" x14ac:dyDescent="0.25">
      <c r="A215" s="38"/>
      <c r="B215" s="103"/>
      <c r="C215" s="103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</row>
    <row r="216" spans="1:25" ht="15.75" customHeight="1" x14ac:dyDescent="0.25">
      <c r="A216" s="38"/>
      <c r="B216" s="103"/>
      <c r="C216" s="103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</row>
    <row r="217" spans="1:25" ht="15.75" customHeight="1" x14ac:dyDescent="0.25">
      <c r="A217" s="38"/>
      <c r="B217" s="103"/>
      <c r="C217" s="103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</row>
    <row r="218" spans="1:25" ht="15.75" customHeight="1" x14ac:dyDescent="0.25">
      <c r="A218" s="38"/>
      <c r="B218" s="103"/>
      <c r="C218" s="103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</row>
    <row r="219" spans="1:25" ht="15.75" customHeight="1" x14ac:dyDescent="0.25">
      <c r="A219" s="38"/>
      <c r="B219" s="103"/>
      <c r="C219" s="103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</row>
    <row r="220" spans="1:25" ht="15.75" customHeight="1" x14ac:dyDescent="0.25">
      <c r="A220" s="38"/>
      <c r="B220" s="103"/>
      <c r="C220" s="103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</row>
    <row r="221" spans="1:25" ht="15.75" customHeight="1" x14ac:dyDescent="0.25">
      <c r="A221" s="38"/>
      <c r="B221" s="103"/>
      <c r="C221" s="103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</row>
    <row r="222" spans="1:25" ht="15.75" customHeight="1" x14ac:dyDescent="0.25">
      <c r="A222" s="38"/>
      <c r="B222" s="103"/>
      <c r="C222" s="103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</row>
    <row r="223" spans="1:25" ht="15.75" customHeight="1" x14ac:dyDescent="0.25">
      <c r="A223" s="38"/>
      <c r="B223" s="103"/>
      <c r="C223" s="103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</row>
    <row r="224" spans="1:25" ht="15.75" customHeight="1" x14ac:dyDescent="0.25">
      <c r="A224" s="38"/>
      <c r="B224" s="103"/>
      <c r="C224" s="103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</row>
    <row r="225" spans="1:25" ht="15.75" customHeight="1" x14ac:dyDescent="0.25">
      <c r="A225" s="38"/>
      <c r="B225" s="103"/>
      <c r="C225" s="103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</row>
    <row r="226" spans="1:25" ht="15.75" customHeight="1" x14ac:dyDescent="0.25">
      <c r="A226" s="38"/>
      <c r="B226" s="103"/>
      <c r="C226" s="103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</row>
    <row r="227" spans="1:25" ht="15.75" customHeight="1" x14ac:dyDescent="0.25">
      <c r="A227" s="38"/>
      <c r="B227" s="103"/>
      <c r="C227" s="103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</row>
    <row r="228" spans="1:25" ht="15.75" customHeight="1" x14ac:dyDescent="0.25">
      <c r="A228" s="38"/>
      <c r="B228" s="103"/>
      <c r="C228" s="103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</row>
    <row r="229" spans="1:25" ht="15.75" customHeight="1" x14ac:dyDescent="0.25">
      <c r="A229" s="38"/>
      <c r="B229" s="103"/>
      <c r="C229" s="103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</row>
    <row r="230" spans="1:25" ht="15.75" customHeight="1" x14ac:dyDescent="0.25">
      <c r="A230" s="38"/>
      <c r="B230" s="103"/>
      <c r="C230" s="103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</row>
    <row r="231" spans="1:25" ht="15.75" customHeight="1" x14ac:dyDescent="0.25">
      <c r="A231" s="38"/>
      <c r="B231" s="103"/>
      <c r="C231" s="103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</row>
    <row r="232" spans="1:25" ht="15.75" customHeight="1" x14ac:dyDescent="0.25">
      <c r="A232" s="38"/>
      <c r="B232" s="103"/>
      <c r="C232" s="103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</row>
    <row r="233" spans="1:25" ht="15.75" customHeight="1" x14ac:dyDescent="0.25">
      <c r="A233" s="38"/>
      <c r="B233" s="103"/>
      <c r="C233" s="103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</row>
    <row r="234" spans="1:25" ht="15.75" customHeight="1" x14ac:dyDescent="0.25">
      <c r="A234" s="38"/>
      <c r="B234" s="103"/>
      <c r="C234" s="103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</row>
    <row r="235" spans="1:25" ht="15.75" customHeight="1" x14ac:dyDescent="0.25">
      <c r="A235" s="38"/>
      <c r="B235" s="103"/>
      <c r="C235" s="103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</row>
    <row r="236" spans="1:25" ht="15.75" customHeight="1" x14ac:dyDescent="0.25">
      <c r="A236" s="38"/>
      <c r="B236" s="103"/>
      <c r="C236" s="103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</row>
    <row r="237" spans="1:25" ht="15.75" customHeight="1" x14ac:dyDescent="0.25">
      <c r="A237" s="38"/>
      <c r="B237" s="103"/>
      <c r="C237" s="103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</row>
    <row r="238" spans="1:25" ht="15.75" customHeight="1" x14ac:dyDescent="0.25">
      <c r="A238" s="38"/>
      <c r="B238" s="103"/>
      <c r="C238" s="103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</row>
    <row r="239" spans="1:25" ht="15.75" customHeight="1" x14ac:dyDescent="0.25">
      <c r="A239" s="38"/>
      <c r="B239" s="103"/>
      <c r="C239" s="103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</row>
    <row r="240" spans="1:25" ht="15.75" customHeight="1" x14ac:dyDescent="0.25">
      <c r="A240" s="38"/>
      <c r="B240" s="103"/>
      <c r="C240" s="103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</row>
    <row r="241" spans="1:25" ht="15.75" customHeight="1" x14ac:dyDescent="0.25">
      <c r="A241" s="38"/>
      <c r="B241" s="103"/>
      <c r="C241" s="103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</row>
    <row r="242" spans="1:25" ht="15.75" customHeight="1" x14ac:dyDescent="0.25">
      <c r="A242" s="38"/>
      <c r="B242" s="103"/>
      <c r="C242" s="103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</row>
    <row r="243" spans="1:25" ht="15.75" customHeight="1" x14ac:dyDescent="0.25">
      <c r="A243" s="38"/>
      <c r="B243" s="103"/>
      <c r="C243" s="103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</row>
    <row r="244" spans="1:25" ht="15.75" customHeight="1" x14ac:dyDescent="0.25">
      <c r="A244" s="38"/>
      <c r="B244" s="103"/>
      <c r="C244" s="103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</row>
    <row r="245" spans="1:25" ht="15.75" customHeight="1" x14ac:dyDescent="0.25">
      <c r="A245" s="38"/>
      <c r="B245" s="103"/>
      <c r="C245" s="103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</row>
    <row r="246" spans="1:25" ht="15.75" customHeight="1" x14ac:dyDescent="0.25">
      <c r="A246" s="38"/>
      <c r="B246" s="103"/>
      <c r="C246" s="103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</row>
    <row r="247" spans="1:25" ht="15.75" customHeight="1" x14ac:dyDescent="0.25">
      <c r="A247" s="38"/>
      <c r="B247" s="103"/>
      <c r="C247" s="103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</row>
    <row r="248" spans="1:25" ht="15.75" customHeight="1" x14ac:dyDescent="0.25"/>
    <row r="249" spans="1:25" ht="15.75" customHeight="1" x14ac:dyDescent="0.25"/>
    <row r="250" spans="1:25" ht="15.75" customHeight="1" x14ac:dyDescent="0.25"/>
    <row r="251" spans="1:25" ht="15.75" customHeight="1" x14ac:dyDescent="0.25"/>
    <row r="252" spans="1:25" ht="15.75" customHeight="1" x14ac:dyDescent="0.25"/>
    <row r="253" spans="1:25" ht="15.75" customHeight="1" x14ac:dyDescent="0.25"/>
    <row r="254" spans="1:25" ht="15.75" customHeight="1" x14ac:dyDescent="0.25"/>
    <row r="255" spans="1:25" ht="15.75" customHeight="1" x14ac:dyDescent="0.25"/>
    <row r="256" spans="1:25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</sheetData>
  <mergeCells count="16">
    <mergeCell ref="A8:A9"/>
    <mergeCell ref="C10:D10"/>
    <mergeCell ref="E15:E16"/>
    <mergeCell ref="A47:E47"/>
    <mergeCell ref="A11:G12"/>
    <mergeCell ref="B13:G13"/>
    <mergeCell ref="A15:A16"/>
    <mergeCell ref="B15:B16"/>
    <mergeCell ref="C15:C16"/>
    <mergeCell ref="D15:D16"/>
    <mergeCell ref="F15:F16"/>
    <mergeCell ref="A2:G2"/>
    <mergeCell ref="A4:B4"/>
    <mergeCell ref="C4:G4"/>
    <mergeCell ref="B6:G6"/>
    <mergeCell ref="B7:G7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13"/>
  <sheetViews>
    <sheetView topLeftCell="A4" workbookViewId="0">
      <selection activeCell="G16" sqref="G16:I40"/>
    </sheetView>
  </sheetViews>
  <sheetFormatPr defaultColWidth="12.6640625" defaultRowHeight="15" customHeight="1" x14ac:dyDescent="0.25"/>
  <cols>
    <col min="1" max="1" width="16.44140625" customWidth="1"/>
    <col min="2" max="2" width="30.77734375" customWidth="1"/>
    <col min="3" max="3" width="9.21875" customWidth="1"/>
    <col min="4" max="4" width="9.44140625" customWidth="1"/>
    <col min="5" max="5" width="17.21875" customWidth="1"/>
    <col min="6" max="7" width="20.6640625" customWidth="1"/>
    <col min="8" max="9" width="19.6640625" customWidth="1"/>
  </cols>
  <sheetData>
    <row r="1" spans="1:26" ht="15.75" customHeight="1" x14ac:dyDescent="0.25"/>
    <row r="2" spans="1:26" ht="15.75" customHeight="1" x14ac:dyDescent="0.25">
      <c r="A2" s="150"/>
      <c r="B2" s="151"/>
      <c r="C2" s="151"/>
      <c r="D2" s="151"/>
      <c r="E2" s="151"/>
      <c r="F2" s="151"/>
      <c r="G2" s="151"/>
    </row>
    <row r="3" spans="1:26" ht="15.75" customHeight="1" x14ac:dyDescent="0.25">
      <c r="A3" s="38"/>
      <c r="B3" s="38"/>
      <c r="C3" s="39"/>
      <c r="D3" s="38"/>
      <c r="E3" s="36"/>
      <c r="F3" s="37"/>
      <c r="G3" s="38"/>
      <c r="H3" s="38"/>
      <c r="I3" s="38"/>
      <c r="J3" s="38"/>
    </row>
    <row r="4" spans="1:26" ht="15.75" customHeight="1" x14ac:dyDescent="0.25">
      <c r="A4" s="152" t="s">
        <v>49</v>
      </c>
      <c r="B4" s="153"/>
      <c r="C4" s="154">
        <f>'SIKLUS MENU'!E3</f>
        <v>46226</v>
      </c>
      <c r="D4" s="153"/>
      <c r="E4" s="153"/>
      <c r="F4" s="153"/>
      <c r="G4" s="153"/>
      <c r="H4" s="38"/>
      <c r="I4" s="38"/>
      <c r="J4" s="38"/>
    </row>
    <row r="5" spans="1:26" ht="15.75" customHeight="1" x14ac:dyDescent="0.3">
      <c r="A5" s="40" t="s">
        <v>50</v>
      </c>
      <c r="B5" s="41">
        <f>C4-1</f>
        <v>46225</v>
      </c>
      <c r="C5" s="42"/>
      <c r="D5" s="43"/>
      <c r="E5" s="44"/>
      <c r="F5" s="45"/>
      <c r="G5" s="46"/>
      <c r="H5" s="38"/>
      <c r="I5" s="38"/>
      <c r="J5" s="38"/>
    </row>
    <row r="6" spans="1:26" ht="15.75" customHeight="1" x14ac:dyDescent="0.3">
      <c r="A6" s="40" t="s">
        <v>51</v>
      </c>
      <c r="B6" s="155" t="s">
        <v>52</v>
      </c>
      <c r="C6" s="153"/>
      <c r="D6" s="153"/>
      <c r="E6" s="153"/>
      <c r="F6" s="153"/>
      <c r="G6" s="156"/>
      <c r="H6" s="38"/>
      <c r="I6" s="38"/>
      <c r="J6" s="38"/>
    </row>
    <row r="7" spans="1:26" ht="15.75" customHeight="1" x14ac:dyDescent="0.3">
      <c r="A7" s="40" t="s">
        <v>53</v>
      </c>
      <c r="B7" s="157">
        <f>C4</f>
        <v>46226</v>
      </c>
      <c r="C7" s="153"/>
      <c r="D7" s="153"/>
      <c r="E7" s="153"/>
      <c r="F7" s="153"/>
      <c r="G7" s="156"/>
      <c r="H7" s="38"/>
      <c r="I7" s="38"/>
      <c r="J7" s="38"/>
    </row>
    <row r="8" spans="1:26" ht="15.75" customHeight="1" x14ac:dyDescent="0.3">
      <c r="A8" s="158" t="s">
        <v>54</v>
      </c>
      <c r="B8" s="47" t="s">
        <v>55</v>
      </c>
      <c r="C8" s="84">
        <v>643</v>
      </c>
      <c r="D8" s="49">
        <v>8000</v>
      </c>
      <c r="E8" s="50">
        <f t="shared" ref="E8:E9" si="0">D8*C8</f>
        <v>5144000</v>
      </c>
      <c r="F8" s="51"/>
      <c r="G8" s="52"/>
      <c r="H8" s="53"/>
      <c r="I8" s="53"/>
      <c r="J8" s="53"/>
    </row>
    <row r="9" spans="1:26" ht="15.75" customHeight="1" x14ac:dyDescent="0.3">
      <c r="A9" s="159"/>
      <c r="B9" s="54" t="s">
        <v>56</v>
      </c>
      <c r="C9" s="85">
        <v>506</v>
      </c>
      <c r="D9" s="55">
        <v>10000</v>
      </c>
      <c r="E9" s="50">
        <f t="shared" si="0"/>
        <v>5060000</v>
      </c>
      <c r="F9" s="56"/>
      <c r="G9" s="57"/>
      <c r="H9" s="53"/>
      <c r="I9" s="53"/>
      <c r="J9" s="53"/>
    </row>
    <row r="10" spans="1:26" ht="15.75" customHeight="1" x14ac:dyDescent="0.35">
      <c r="A10" s="58"/>
      <c r="B10" s="59" t="s">
        <v>57</v>
      </c>
      <c r="C10" s="160">
        <f>SUM(C8:C9)</f>
        <v>1149</v>
      </c>
      <c r="D10" s="153"/>
      <c r="E10" s="60">
        <f>SUM(E8:E9)</f>
        <v>10204000</v>
      </c>
      <c r="F10" s="56"/>
      <c r="G10" s="57"/>
      <c r="H10" s="53"/>
      <c r="I10" s="53"/>
      <c r="J10" s="53"/>
    </row>
    <row r="11" spans="1:26" ht="15.75" customHeight="1" x14ac:dyDescent="0.25">
      <c r="A11" s="166" t="s">
        <v>58</v>
      </c>
      <c r="B11" s="167"/>
      <c r="C11" s="167"/>
      <c r="D11" s="167"/>
      <c r="E11" s="167"/>
      <c r="F11" s="167"/>
      <c r="G11" s="168"/>
      <c r="H11" s="38"/>
      <c r="I11" s="38"/>
      <c r="J11" s="38"/>
    </row>
    <row r="12" spans="1:26" ht="15.75" customHeight="1" x14ac:dyDescent="0.25">
      <c r="A12" s="169"/>
      <c r="B12" s="170"/>
      <c r="C12" s="170"/>
      <c r="D12" s="170"/>
      <c r="E12" s="170"/>
      <c r="F12" s="170"/>
      <c r="G12" s="171"/>
      <c r="H12" s="38"/>
      <c r="I12" s="38"/>
      <c r="J12" s="38"/>
    </row>
    <row r="13" spans="1:26" ht="15.75" customHeight="1" x14ac:dyDescent="0.3">
      <c r="A13" s="61" t="s">
        <v>59</v>
      </c>
      <c r="B13" s="186"/>
      <c r="C13" s="151"/>
      <c r="D13" s="151"/>
      <c r="E13" s="151"/>
      <c r="F13" s="151"/>
      <c r="G13" s="173"/>
      <c r="H13" s="38"/>
      <c r="I13" s="38"/>
      <c r="J13" s="38"/>
    </row>
    <row r="14" spans="1:26" ht="15.75" customHeight="1" x14ac:dyDescent="0.25">
      <c r="A14" s="38"/>
      <c r="B14" s="38"/>
      <c r="C14" s="39"/>
      <c r="D14" s="38"/>
      <c r="E14" s="36"/>
      <c r="F14" s="37"/>
      <c r="G14" s="86"/>
      <c r="H14" s="38"/>
      <c r="I14" s="38"/>
      <c r="J14" s="38"/>
    </row>
    <row r="15" spans="1:26" ht="15.75" customHeight="1" x14ac:dyDescent="0.25">
      <c r="A15" s="174" t="s">
        <v>60</v>
      </c>
      <c r="B15" s="176" t="s">
        <v>61</v>
      </c>
      <c r="C15" s="178" t="s">
        <v>62</v>
      </c>
      <c r="D15" s="179" t="s">
        <v>63</v>
      </c>
      <c r="E15" s="161" t="s">
        <v>64</v>
      </c>
      <c r="F15" s="179" t="s">
        <v>65</v>
      </c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spans="1:26" ht="15.75" customHeight="1" x14ac:dyDescent="0.25">
      <c r="A16" s="175"/>
      <c r="B16" s="187"/>
      <c r="C16" s="185"/>
      <c r="D16" s="185"/>
      <c r="E16" s="185"/>
      <c r="F16" s="185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spans="1:9" ht="15.75" customHeight="1" x14ac:dyDescent="0.25">
      <c r="A17" s="112">
        <v>1</v>
      </c>
      <c r="B17" s="113" t="s">
        <v>124</v>
      </c>
      <c r="C17" s="77">
        <v>70</v>
      </c>
      <c r="D17" s="77" t="s">
        <v>67</v>
      </c>
      <c r="E17" s="114">
        <v>17500</v>
      </c>
      <c r="F17" s="115">
        <f t="shared" ref="F17:F39" si="1">E17*C17</f>
        <v>1225000</v>
      </c>
      <c r="G17" s="88"/>
      <c r="H17" s="89"/>
      <c r="I17" s="89"/>
    </row>
    <row r="18" spans="1:9" ht="15.75" customHeight="1" x14ac:dyDescent="0.25">
      <c r="A18" s="112">
        <v>2</v>
      </c>
      <c r="B18" s="113" t="s">
        <v>94</v>
      </c>
      <c r="C18" s="77">
        <v>55</v>
      </c>
      <c r="D18" s="77" t="s">
        <v>67</v>
      </c>
      <c r="E18" s="114">
        <v>52000</v>
      </c>
      <c r="F18" s="115">
        <f t="shared" si="1"/>
        <v>2860000</v>
      </c>
      <c r="G18" s="88"/>
      <c r="H18" s="89"/>
      <c r="I18" s="89"/>
    </row>
    <row r="19" spans="1:9" ht="15.75" customHeight="1" x14ac:dyDescent="0.25">
      <c r="A19" s="112">
        <v>3</v>
      </c>
      <c r="B19" s="113" t="s">
        <v>73</v>
      </c>
      <c r="C19" s="77">
        <v>1.5</v>
      </c>
      <c r="D19" s="77" t="s">
        <v>67</v>
      </c>
      <c r="E19" s="114">
        <v>46000</v>
      </c>
      <c r="F19" s="115">
        <f t="shared" si="1"/>
        <v>69000</v>
      </c>
      <c r="G19" s="88"/>
      <c r="H19" s="89"/>
      <c r="I19" s="89"/>
    </row>
    <row r="20" spans="1:9" ht="15.75" customHeight="1" x14ac:dyDescent="0.25">
      <c r="A20" s="112">
        <v>4</v>
      </c>
      <c r="B20" s="113" t="s">
        <v>72</v>
      </c>
      <c r="C20" s="77">
        <v>1</v>
      </c>
      <c r="D20" s="77" t="s">
        <v>67</v>
      </c>
      <c r="E20" s="114">
        <v>44000</v>
      </c>
      <c r="F20" s="115">
        <f t="shared" si="1"/>
        <v>44000</v>
      </c>
      <c r="G20" s="88"/>
      <c r="H20" s="89"/>
      <c r="I20" s="89"/>
    </row>
    <row r="21" spans="1:9" ht="15.75" customHeight="1" x14ac:dyDescent="0.25">
      <c r="A21" s="112">
        <v>5</v>
      </c>
      <c r="B21" s="113" t="s">
        <v>77</v>
      </c>
      <c r="C21" s="77">
        <v>0.25</v>
      </c>
      <c r="D21" s="77" t="s">
        <v>67</v>
      </c>
      <c r="E21" s="114">
        <v>171000</v>
      </c>
      <c r="F21" s="115">
        <f t="shared" si="1"/>
        <v>42750</v>
      </c>
      <c r="G21" s="88"/>
      <c r="H21" s="89"/>
      <c r="I21" s="89"/>
    </row>
    <row r="22" spans="1:9" ht="15.75" customHeight="1" x14ac:dyDescent="0.25">
      <c r="A22" s="112">
        <v>6</v>
      </c>
      <c r="B22" s="113" t="s">
        <v>70</v>
      </c>
      <c r="C22" s="77">
        <v>2</v>
      </c>
      <c r="D22" s="77" t="s">
        <v>67</v>
      </c>
      <c r="E22" s="114">
        <v>14000</v>
      </c>
      <c r="F22" s="115">
        <f t="shared" si="1"/>
        <v>28000</v>
      </c>
      <c r="G22" s="88"/>
      <c r="H22" s="89"/>
      <c r="I22" s="89"/>
    </row>
    <row r="23" spans="1:9" ht="15.75" customHeight="1" x14ac:dyDescent="0.25">
      <c r="A23" s="112">
        <v>7</v>
      </c>
      <c r="B23" s="113" t="s">
        <v>71</v>
      </c>
      <c r="C23" s="77">
        <v>2</v>
      </c>
      <c r="D23" s="77" t="s">
        <v>67</v>
      </c>
      <c r="E23" s="114">
        <v>51000</v>
      </c>
      <c r="F23" s="115">
        <f t="shared" si="1"/>
        <v>102000</v>
      </c>
      <c r="G23" s="88"/>
      <c r="H23" s="89"/>
      <c r="I23" s="89"/>
    </row>
    <row r="24" spans="1:9" ht="15.75" customHeight="1" x14ac:dyDescent="0.25">
      <c r="A24" s="112">
        <v>8</v>
      </c>
      <c r="B24" s="113" t="s">
        <v>84</v>
      </c>
      <c r="C24" s="77">
        <v>2</v>
      </c>
      <c r="D24" s="77" t="s">
        <v>67</v>
      </c>
      <c r="E24" s="114">
        <v>20000</v>
      </c>
      <c r="F24" s="115">
        <f t="shared" si="1"/>
        <v>40000</v>
      </c>
      <c r="G24" s="88"/>
      <c r="H24" s="89"/>
      <c r="I24" s="89"/>
    </row>
    <row r="25" spans="1:9" ht="15.75" customHeight="1" x14ac:dyDescent="0.25">
      <c r="A25" s="112">
        <v>9</v>
      </c>
      <c r="B25" s="113" t="s">
        <v>125</v>
      </c>
      <c r="C25" s="77">
        <v>1</v>
      </c>
      <c r="D25" s="77" t="s">
        <v>96</v>
      </c>
      <c r="E25" s="114">
        <v>45000</v>
      </c>
      <c r="F25" s="115">
        <f t="shared" si="1"/>
        <v>45000</v>
      </c>
      <c r="G25" s="88"/>
      <c r="H25" s="89"/>
      <c r="I25" s="89"/>
    </row>
    <row r="26" spans="1:9" ht="15.75" customHeight="1" x14ac:dyDescent="0.3">
      <c r="A26" s="112">
        <v>10</v>
      </c>
      <c r="B26" s="73" t="s">
        <v>97</v>
      </c>
      <c r="C26" s="65">
        <v>1</v>
      </c>
      <c r="D26" s="77" t="s">
        <v>96</v>
      </c>
      <c r="E26" s="116">
        <v>58500</v>
      </c>
      <c r="F26" s="115">
        <f t="shared" si="1"/>
        <v>58500</v>
      </c>
      <c r="G26" s="88"/>
      <c r="H26" s="89"/>
      <c r="I26" s="89"/>
    </row>
    <row r="27" spans="1:9" ht="15.75" customHeight="1" x14ac:dyDescent="0.3">
      <c r="A27" s="112">
        <v>11</v>
      </c>
      <c r="B27" s="75" t="s">
        <v>104</v>
      </c>
      <c r="C27" s="65">
        <v>10</v>
      </c>
      <c r="D27" s="77" t="s">
        <v>67</v>
      </c>
      <c r="E27" s="117">
        <v>26000</v>
      </c>
      <c r="F27" s="115">
        <f t="shared" si="1"/>
        <v>260000</v>
      </c>
      <c r="G27" s="88"/>
      <c r="H27" s="89"/>
      <c r="I27" s="89"/>
    </row>
    <row r="28" spans="1:9" ht="15.75" customHeight="1" x14ac:dyDescent="0.3">
      <c r="A28" s="112">
        <v>12</v>
      </c>
      <c r="B28" s="99" t="s">
        <v>106</v>
      </c>
      <c r="C28" s="100">
        <v>2</v>
      </c>
      <c r="D28" s="77" t="s">
        <v>67</v>
      </c>
      <c r="E28" s="101">
        <v>14000</v>
      </c>
      <c r="F28" s="115">
        <f t="shared" si="1"/>
        <v>28000</v>
      </c>
      <c r="G28" s="88"/>
      <c r="H28" s="89"/>
      <c r="I28" s="89"/>
    </row>
    <row r="29" spans="1:9" ht="15.75" customHeight="1" x14ac:dyDescent="0.3">
      <c r="A29" s="112">
        <v>13</v>
      </c>
      <c r="B29" s="99" t="s">
        <v>102</v>
      </c>
      <c r="C29" s="100">
        <v>10</v>
      </c>
      <c r="D29" s="77" t="s">
        <v>67</v>
      </c>
      <c r="E29" s="101">
        <v>16000</v>
      </c>
      <c r="F29" s="115">
        <f t="shared" si="1"/>
        <v>160000</v>
      </c>
      <c r="G29" s="88"/>
      <c r="H29" s="89"/>
      <c r="I29" s="89"/>
    </row>
    <row r="30" spans="1:9" ht="15.75" customHeight="1" x14ac:dyDescent="0.3">
      <c r="A30" s="112">
        <v>14</v>
      </c>
      <c r="B30" s="99" t="s">
        <v>126</v>
      </c>
      <c r="C30" s="100">
        <v>7</v>
      </c>
      <c r="D30" s="77" t="s">
        <v>67</v>
      </c>
      <c r="E30" s="101">
        <v>14000</v>
      </c>
      <c r="F30" s="115">
        <f t="shared" si="1"/>
        <v>98000</v>
      </c>
      <c r="G30" s="88"/>
      <c r="H30" s="89"/>
      <c r="I30" s="89"/>
    </row>
    <row r="31" spans="1:9" ht="15.75" customHeight="1" x14ac:dyDescent="0.3">
      <c r="A31" s="112">
        <v>15</v>
      </c>
      <c r="B31" s="99" t="s">
        <v>127</v>
      </c>
      <c r="C31" s="100">
        <v>25</v>
      </c>
      <c r="D31" s="77" t="s">
        <v>67</v>
      </c>
      <c r="E31" s="101">
        <v>10000</v>
      </c>
      <c r="F31" s="115">
        <f t="shared" si="1"/>
        <v>250000</v>
      </c>
      <c r="G31" s="88"/>
      <c r="H31" s="89"/>
      <c r="I31" s="89"/>
    </row>
    <row r="32" spans="1:9" ht="15.75" customHeight="1" x14ac:dyDescent="0.3">
      <c r="A32" s="112">
        <v>16</v>
      </c>
      <c r="B32" s="99" t="s">
        <v>128</v>
      </c>
      <c r="C32" s="100">
        <v>23</v>
      </c>
      <c r="D32" s="77" t="s">
        <v>67</v>
      </c>
      <c r="E32" s="101">
        <v>44000</v>
      </c>
      <c r="F32" s="115">
        <f t="shared" si="1"/>
        <v>1012000</v>
      </c>
      <c r="G32" s="88"/>
      <c r="H32" s="89"/>
      <c r="I32" s="89"/>
    </row>
    <row r="33" spans="1:25" ht="15.75" customHeight="1" x14ac:dyDescent="0.3">
      <c r="A33" s="112">
        <v>17</v>
      </c>
      <c r="B33" s="99" t="s">
        <v>129</v>
      </c>
      <c r="C33" s="100">
        <v>0.5</v>
      </c>
      <c r="D33" s="77" t="s">
        <v>67</v>
      </c>
      <c r="E33" s="101">
        <v>35000</v>
      </c>
      <c r="F33" s="115">
        <f t="shared" si="1"/>
        <v>17500</v>
      </c>
      <c r="G33" s="88"/>
      <c r="H33" s="89"/>
      <c r="I33" s="89"/>
    </row>
    <row r="34" spans="1:25" ht="15.75" customHeight="1" x14ac:dyDescent="0.3">
      <c r="A34" s="112">
        <v>18</v>
      </c>
      <c r="B34" s="99" t="s">
        <v>76</v>
      </c>
      <c r="C34" s="100">
        <v>5</v>
      </c>
      <c r="D34" s="77" t="s">
        <v>67</v>
      </c>
      <c r="E34" s="101">
        <v>27000</v>
      </c>
      <c r="F34" s="115">
        <f t="shared" si="1"/>
        <v>135000</v>
      </c>
      <c r="G34" s="88"/>
      <c r="H34" s="89"/>
      <c r="I34" s="89"/>
    </row>
    <row r="35" spans="1:25" ht="15.75" customHeight="1" x14ac:dyDescent="0.3">
      <c r="A35" s="112">
        <v>19</v>
      </c>
      <c r="B35" s="99" t="s">
        <v>130</v>
      </c>
      <c r="C35" s="100">
        <v>0.5</v>
      </c>
      <c r="D35" s="77" t="s">
        <v>67</v>
      </c>
      <c r="E35" s="101">
        <v>30000</v>
      </c>
      <c r="F35" s="115">
        <f t="shared" si="1"/>
        <v>15000</v>
      </c>
      <c r="G35" s="88"/>
      <c r="H35" s="89"/>
      <c r="I35" s="89"/>
    </row>
    <row r="36" spans="1:25" ht="15.75" customHeight="1" x14ac:dyDescent="0.3">
      <c r="A36" s="112">
        <v>20</v>
      </c>
      <c r="B36" s="99" t="s">
        <v>131</v>
      </c>
      <c r="C36" s="100">
        <v>585</v>
      </c>
      <c r="D36" s="77" t="s">
        <v>69</v>
      </c>
      <c r="E36" s="101">
        <v>900</v>
      </c>
      <c r="F36" s="115">
        <f t="shared" si="1"/>
        <v>526500</v>
      </c>
      <c r="G36" s="88"/>
      <c r="H36" s="89"/>
      <c r="I36" s="89"/>
    </row>
    <row r="37" spans="1:25" ht="15.75" customHeight="1" x14ac:dyDescent="0.3">
      <c r="A37" s="112">
        <v>21</v>
      </c>
      <c r="B37" s="99" t="s">
        <v>132</v>
      </c>
      <c r="C37" s="100">
        <v>50</v>
      </c>
      <c r="D37" s="77" t="s">
        <v>67</v>
      </c>
      <c r="E37" s="101">
        <v>75000</v>
      </c>
      <c r="F37" s="115">
        <f t="shared" si="1"/>
        <v>3750000</v>
      </c>
      <c r="G37" s="88"/>
      <c r="H37" s="89"/>
      <c r="I37" s="89"/>
    </row>
    <row r="38" spans="1:25" ht="15.75" customHeight="1" x14ac:dyDescent="0.3">
      <c r="A38" s="112">
        <v>22</v>
      </c>
      <c r="B38" s="118"/>
      <c r="C38" s="100"/>
      <c r="D38" s="77"/>
      <c r="E38" s="101"/>
      <c r="F38" s="115">
        <f t="shared" si="1"/>
        <v>0</v>
      </c>
      <c r="G38" s="88"/>
      <c r="H38" s="89"/>
      <c r="I38" s="89"/>
    </row>
    <row r="39" spans="1:25" ht="15.75" customHeight="1" x14ac:dyDescent="0.3">
      <c r="A39" s="112">
        <v>23</v>
      </c>
      <c r="B39" s="6"/>
      <c r="C39" s="65"/>
      <c r="D39" s="65"/>
      <c r="E39" s="119"/>
      <c r="F39" s="115">
        <f t="shared" si="1"/>
        <v>0</v>
      </c>
      <c r="G39" s="88"/>
      <c r="H39" s="89"/>
      <c r="I39" s="89"/>
    </row>
    <row r="40" spans="1:25" ht="15.75" customHeight="1" x14ac:dyDescent="0.3">
      <c r="A40" s="163" t="s">
        <v>93</v>
      </c>
      <c r="B40" s="164"/>
      <c r="C40" s="164"/>
      <c r="D40" s="164"/>
      <c r="E40" s="165"/>
      <c r="F40" s="83">
        <f>SUM(F17:F39)</f>
        <v>10766250</v>
      </c>
      <c r="G40" s="88"/>
      <c r="H40" s="89"/>
      <c r="I40" s="89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</row>
    <row r="41" spans="1:25" ht="15.75" customHeight="1" x14ac:dyDescent="0.25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</row>
    <row r="42" spans="1:25" ht="15.75" customHeight="1" x14ac:dyDescent="0.25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</row>
    <row r="43" spans="1:25" ht="15.75" customHeight="1" x14ac:dyDescent="0.25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</row>
    <row r="44" spans="1:25" ht="15.75" customHeight="1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</row>
    <row r="45" spans="1:25" ht="15.75" customHeight="1" x14ac:dyDescent="0.2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</row>
    <row r="46" spans="1:25" ht="15.75" customHeight="1" x14ac:dyDescent="0.25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</row>
    <row r="47" spans="1:25" ht="15.75" customHeight="1" x14ac:dyDescent="0.25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</row>
    <row r="48" spans="1:25" ht="15.75" customHeight="1" x14ac:dyDescent="0.25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</row>
    <row r="49" spans="1:25" ht="15.75" customHeight="1" x14ac:dyDescent="0.25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</row>
    <row r="50" spans="1:25" ht="15.75" customHeight="1" x14ac:dyDescent="0.25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</row>
    <row r="51" spans="1:25" ht="15.75" customHeight="1" x14ac:dyDescent="0.25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</row>
    <row r="52" spans="1:25" ht="15.75" customHeight="1" x14ac:dyDescent="0.25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</row>
    <row r="53" spans="1:25" ht="15.75" customHeight="1" x14ac:dyDescent="0.25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</row>
    <row r="54" spans="1:25" ht="15.75" customHeight="1" x14ac:dyDescent="0.25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</row>
    <row r="55" spans="1:25" ht="15.75" customHeight="1" x14ac:dyDescent="0.2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</row>
    <row r="56" spans="1:25" ht="15.75" customHeight="1" x14ac:dyDescent="0.25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</row>
    <row r="57" spans="1:25" ht="15.75" customHeight="1" x14ac:dyDescent="0.25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</row>
    <row r="58" spans="1:25" ht="15.75" customHeight="1" x14ac:dyDescent="0.25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</row>
    <row r="59" spans="1:25" ht="15.75" customHeight="1" x14ac:dyDescent="0.25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</row>
    <row r="60" spans="1:25" ht="15.75" customHeight="1" x14ac:dyDescent="0.25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15.75" customHeight="1" x14ac:dyDescent="0.25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15.75" customHeight="1" x14ac:dyDescent="0.25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15.75" customHeight="1" x14ac:dyDescent="0.25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15.75" customHeight="1" x14ac:dyDescent="0.25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</row>
    <row r="65" spans="1:25" ht="15.75" customHeight="1" x14ac:dyDescent="0.2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15.75" customHeight="1" x14ac:dyDescent="0.25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15.75" customHeight="1" x14ac:dyDescent="0.25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15.75" customHeight="1" x14ac:dyDescent="0.25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15.75" customHeight="1" x14ac:dyDescent="0.25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</row>
    <row r="70" spans="1:25" ht="15.75" customHeight="1" x14ac:dyDescent="0.25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15.75" customHeight="1" x14ac:dyDescent="0.25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15.75" customHeight="1" x14ac:dyDescent="0.25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15.75" customHeight="1" x14ac:dyDescent="0.25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15.75" customHeight="1" x14ac:dyDescent="0.25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</row>
    <row r="75" spans="1:25" ht="15.75" customHeight="1" x14ac:dyDescent="0.2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15.75" customHeight="1" x14ac:dyDescent="0.25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15.75" customHeight="1" x14ac:dyDescent="0.25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15.75" customHeight="1" x14ac:dyDescent="0.25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15.75" customHeight="1" x14ac:dyDescent="0.25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</row>
    <row r="80" spans="1:25" ht="15.75" customHeight="1" x14ac:dyDescent="0.25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15.75" customHeight="1" x14ac:dyDescent="0.25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15.75" customHeight="1" x14ac:dyDescent="0.25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15.75" customHeight="1" x14ac:dyDescent="0.25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15.75" customHeight="1" x14ac:dyDescent="0.25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</row>
    <row r="85" spans="1:25" ht="15.75" customHeight="1" x14ac:dyDescent="0.2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  <row r="86" spans="1:25" ht="15.75" customHeight="1" x14ac:dyDescent="0.25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</row>
    <row r="87" spans="1:25" ht="15.75" customHeight="1" x14ac:dyDescent="0.25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</row>
    <row r="88" spans="1:25" ht="15.75" customHeight="1" x14ac:dyDescent="0.25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</row>
    <row r="89" spans="1:25" ht="15.75" customHeight="1" x14ac:dyDescent="0.25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</row>
    <row r="90" spans="1:25" ht="15.75" customHeight="1" x14ac:dyDescent="0.25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</row>
    <row r="91" spans="1:25" ht="15.75" customHeight="1" x14ac:dyDescent="0.25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</row>
    <row r="92" spans="1:25" ht="15.75" customHeight="1" x14ac:dyDescent="0.25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</row>
    <row r="93" spans="1:25" ht="15.75" customHeight="1" x14ac:dyDescent="0.25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</row>
    <row r="94" spans="1:25" ht="15.75" customHeight="1" x14ac:dyDescent="0.25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</row>
    <row r="95" spans="1:25" ht="15.75" customHeight="1" x14ac:dyDescent="0.2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</row>
    <row r="96" spans="1:25" ht="15.75" customHeight="1" x14ac:dyDescent="0.25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</row>
    <row r="97" spans="1:25" ht="15.75" customHeight="1" x14ac:dyDescent="0.25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</row>
    <row r="98" spans="1:25" ht="15.75" customHeight="1" x14ac:dyDescent="0.25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</row>
    <row r="99" spans="1:25" ht="15.75" customHeight="1" x14ac:dyDescent="0.25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</row>
    <row r="100" spans="1:25" ht="15.75" customHeight="1" x14ac:dyDescent="0.25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</row>
    <row r="101" spans="1:25" ht="15.75" customHeight="1" x14ac:dyDescent="0.25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</row>
    <row r="102" spans="1:25" ht="15.75" customHeight="1" x14ac:dyDescent="0.25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</row>
    <row r="103" spans="1:25" ht="15.75" customHeight="1" x14ac:dyDescent="0.25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</row>
    <row r="104" spans="1:25" ht="15.75" customHeight="1" x14ac:dyDescent="0.25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</row>
    <row r="105" spans="1:25" ht="15.75" customHeight="1" x14ac:dyDescent="0.2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</row>
    <row r="106" spans="1:25" ht="15.75" customHeight="1" x14ac:dyDescent="0.25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</row>
    <row r="107" spans="1:25" ht="15.75" customHeight="1" x14ac:dyDescent="0.25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</row>
    <row r="108" spans="1:25" ht="15.75" customHeight="1" x14ac:dyDescent="0.25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</row>
    <row r="109" spans="1:25" ht="15.75" customHeight="1" x14ac:dyDescent="0.25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</row>
    <row r="110" spans="1:25" ht="15.75" customHeight="1" x14ac:dyDescent="0.25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</row>
    <row r="111" spans="1:25" ht="15.75" customHeight="1" x14ac:dyDescent="0.25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</row>
    <row r="112" spans="1:25" ht="15.75" customHeight="1" x14ac:dyDescent="0.25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</row>
    <row r="113" spans="1:25" ht="15.75" customHeight="1" x14ac:dyDescent="0.25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</row>
    <row r="114" spans="1:25" ht="15.75" customHeight="1" x14ac:dyDescent="0.25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</row>
    <row r="115" spans="1:25" ht="15.75" customHeight="1" x14ac:dyDescent="0.2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</row>
    <row r="116" spans="1:25" ht="15.75" customHeight="1" x14ac:dyDescent="0.25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</row>
    <row r="117" spans="1:25" ht="15.75" customHeight="1" x14ac:dyDescent="0.25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</row>
    <row r="118" spans="1:25" ht="15.75" customHeight="1" x14ac:dyDescent="0.25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</row>
    <row r="119" spans="1:25" ht="15.75" customHeight="1" x14ac:dyDescent="0.25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</row>
    <row r="120" spans="1:25" ht="15.75" customHeight="1" x14ac:dyDescent="0.25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</row>
    <row r="121" spans="1:25" ht="15.75" customHeight="1" x14ac:dyDescent="0.25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</row>
    <row r="122" spans="1:25" ht="15.75" customHeight="1" x14ac:dyDescent="0.25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</row>
    <row r="123" spans="1:25" ht="15.75" customHeight="1" x14ac:dyDescent="0.25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</row>
    <row r="124" spans="1:25" ht="15.75" customHeight="1" x14ac:dyDescent="0.25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</row>
    <row r="125" spans="1:25" ht="15.75" customHeight="1" x14ac:dyDescent="0.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</row>
    <row r="126" spans="1:25" ht="15.75" customHeight="1" x14ac:dyDescent="0.25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</row>
    <row r="127" spans="1:25" ht="15.75" customHeight="1" x14ac:dyDescent="0.25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</row>
    <row r="128" spans="1:25" ht="15.75" customHeight="1" x14ac:dyDescent="0.25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</row>
    <row r="129" spans="1:25" ht="15.75" customHeight="1" x14ac:dyDescent="0.25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</row>
    <row r="130" spans="1:25" ht="15.75" customHeight="1" x14ac:dyDescent="0.25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</row>
    <row r="131" spans="1:25" ht="15.75" customHeight="1" x14ac:dyDescent="0.25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</row>
    <row r="132" spans="1:25" ht="15.75" customHeight="1" x14ac:dyDescent="0.25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</row>
    <row r="133" spans="1:25" ht="15.75" customHeight="1" x14ac:dyDescent="0.25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</row>
    <row r="134" spans="1:25" ht="15.75" customHeight="1" x14ac:dyDescent="0.25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</row>
    <row r="135" spans="1:25" ht="15.75" customHeight="1" x14ac:dyDescent="0.2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</row>
    <row r="136" spans="1:25" ht="15.75" customHeight="1" x14ac:dyDescent="0.25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</row>
    <row r="137" spans="1:25" ht="15.75" customHeight="1" x14ac:dyDescent="0.25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</row>
    <row r="138" spans="1:25" ht="15.75" customHeight="1" x14ac:dyDescent="0.25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</row>
    <row r="139" spans="1:25" ht="15.75" customHeight="1" x14ac:dyDescent="0.25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</row>
    <row r="140" spans="1:25" ht="15.75" customHeight="1" x14ac:dyDescent="0.25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</row>
    <row r="141" spans="1:25" ht="15.75" customHeight="1" x14ac:dyDescent="0.25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</row>
    <row r="142" spans="1:25" ht="15.75" customHeight="1" x14ac:dyDescent="0.25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</row>
    <row r="143" spans="1:25" ht="15.75" customHeight="1" x14ac:dyDescent="0.25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</row>
    <row r="144" spans="1:25" ht="15.75" customHeight="1" x14ac:dyDescent="0.25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</row>
    <row r="145" spans="1:25" ht="15.75" customHeight="1" x14ac:dyDescent="0.2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</row>
    <row r="146" spans="1:25" ht="15.75" customHeight="1" x14ac:dyDescent="0.25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</row>
    <row r="147" spans="1:25" ht="15.75" customHeight="1" x14ac:dyDescent="0.25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</row>
    <row r="148" spans="1:25" ht="15.75" customHeight="1" x14ac:dyDescent="0.25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</row>
    <row r="149" spans="1:25" ht="15.75" customHeight="1" x14ac:dyDescent="0.25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</row>
    <row r="150" spans="1:25" ht="15.75" customHeight="1" x14ac:dyDescent="0.25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</row>
    <row r="151" spans="1:25" ht="15.75" customHeight="1" x14ac:dyDescent="0.25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</row>
    <row r="152" spans="1:25" ht="15.75" customHeight="1" x14ac:dyDescent="0.25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</row>
    <row r="153" spans="1:25" ht="15.75" customHeight="1" x14ac:dyDescent="0.25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</row>
    <row r="154" spans="1:25" ht="15.75" customHeight="1" x14ac:dyDescent="0.25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</row>
    <row r="155" spans="1:25" ht="15.75" customHeight="1" x14ac:dyDescent="0.2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</row>
    <row r="156" spans="1:25" ht="15.75" customHeight="1" x14ac:dyDescent="0.25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</row>
    <row r="157" spans="1:25" ht="15.75" customHeight="1" x14ac:dyDescent="0.25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</row>
    <row r="158" spans="1:25" ht="15.75" customHeight="1" x14ac:dyDescent="0.25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</row>
    <row r="159" spans="1:25" ht="15.75" customHeight="1" x14ac:dyDescent="0.25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</row>
    <row r="160" spans="1:25" ht="15.75" customHeight="1" x14ac:dyDescent="0.25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</row>
    <row r="161" spans="1:25" ht="15.75" customHeight="1" x14ac:dyDescent="0.25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</row>
    <row r="162" spans="1:25" ht="15.75" customHeight="1" x14ac:dyDescent="0.25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</row>
    <row r="163" spans="1:25" ht="15.75" customHeight="1" x14ac:dyDescent="0.25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</row>
    <row r="164" spans="1:25" ht="15.75" customHeight="1" x14ac:dyDescent="0.25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</row>
    <row r="165" spans="1:25" ht="15.75" customHeight="1" x14ac:dyDescent="0.2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</row>
    <row r="166" spans="1:25" ht="15.75" customHeight="1" x14ac:dyDescent="0.25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</row>
    <row r="167" spans="1:25" ht="15.75" customHeight="1" x14ac:dyDescent="0.25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</row>
    <row r="168" spans="1:25" ht="15.75" customHeight="1" x14ac:dyDescent="0.25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</row>
    <row r="169" spans="1:25" ht="15.75" customHeight="1" x14ac:dyDescent="0.25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</row>
    <row r="170" spans="1:25" ht="15.75" customHeight="1" x14ac:dyDescent="0.25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</row>
    <row r="171" spans="1:25" ht="15.75" customHeight="1" x14ac:dyDescent="0.25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</row>
    <row r="172" spans="1:25" ht="15.75" customHeight="1" x14ac:dyDescent="0.25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</row>
    <row r="173" spans="1:25" ht="15.75" customHeight="1" x14ac:dyDescent="0.25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</row>
    <row r="174" spans="1:25" ht="15.75" customHeight="1" x14ac:dyDescent="0.25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</row>
    <row r="175" spans="1:25" ht="15.75" customHeight="1" x14ac:dyDescent="0.2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</row>
    <row r="176" spans="1:25" ht="15.75" customHeight="1" x14ac:dyDescent="0.25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</row>
    <row r="177" spans="1:25" ht="15.75" customHeight="1" x14ac:dyDescent="0.25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</row>
    <row r="178" spans="1:25" ht="15.75" customHeight="1" x14ac:dyDescent="0.25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</row>
    <row r="179" spans="1:25" ht="15.75" customHeight="1" x14ac:dyDescent="0.25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</row>
    <row r="180" spans="1:25" ht="15.75" customHeight="1" x14ac:dyDescent="0.25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</row>
    <row r="181" spans="1:25" ht="15.75" customHeight="1" x14ac:dyDescent="0.25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</row>
    <row r="182" spans="1:25" ht="15.75" customHeight="1" x14ac:dyDescent="0.25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</row>
    <row r="183" spans="1:25" ht="15.75" customHeight="1" x14ac:dyDescent="0.25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</row>
    <row r="184" spans="1:25" ht="15.75" customHeight="1" x14ac:dyDescent="0.25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</row>
    <row r="185" spans="1:25" ht="15.75" customHeight="1" x14ac:dyDescent="0.2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</row>
    <row r="186" spans="1:25" ht="15.75" customHeight="1" x14ac:dyDescent="0.25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</row>
    <row r="187" spans="1:25" ht="15.75" customHeight="1" x14ac:dyDescent="0.25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</row>
    <row r="188" spans="1:25" ht="15.75" customHeight="1" x14ac:dyDescent="0.25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</row>
    <row r="189" spans="1:25" ht="15.75" customHeight="1" x14ac:dyDescent="0.25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</row>
    <row r="190" spans="1:25" ht="15.75" customHeight="1" x14ac:dyDescent="0.25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</row>
    <row r="191" spans="1:25" ht="15.75" customHeight="1" x14ac:dyDescent="0.25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</row>
    <row r="192" spans="1:25" ht="15.75" customHeight="1" x14ac:dyDescent="0.25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</row>
    <row r="193" spans="1:25" ht="15.75" customHeight="1" x14ac:dyDescent="0.25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</row>
    <row r="194" spans="1:25" ht="15.75" customHeight="1" x14ac:dyDescent="0.25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</row>
    <row r="195" spans="1:25" ht="15.75" customHeight="1" x14ac:dyDescent="0.2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</row>
    <row r="196" spans="1:25" ht="15.75" customHeight="1" x14ac:dyDescent="0.25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</row>
    <row r="197" spans="1:25" ht="15.75" customHeight="1" x14ac:dyDescent="0.25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</row>
    <row r="198" spans="1:25" ht="15.75" customHeight="1" x14ac:dyDescent="0.25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</row>
    <row r="199" spans="1:25" ht="15.75" customHeight="1" x14ac:dyDescent="0.25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</row>
    <row r="200" spans="1:25" ht="15.75" customHeight="1" x14ac:dyDescent="0.25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</row>
    <row r="201" spans="1:25" ht="15.75" customHeight="1" x14ac:dyDescent="0.25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</row>
    <row r="202" spans="1:25" ht="15.75" customHeight="1" x14ac:dyDescent="0.25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</row>
    <row r="203" spans="1:25" ht="15.75" customHeight="1" x14ac:dyDescent="0.25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</row>
    <row r="204" spans="1:25" ht="15.75" customHeight="1" x14ac:dyDescent="0.25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</row>
    <row r="205" spans="1:25" ht="15.75" customHeight="1" x14ac:dyDescent="0.2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</row>
    <row r="206" spans="1:25" ht="15.75" customHeight="1" x14ac:dyDescent="0.25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</row>
    <row r="207" spans="1:25" ht="15.75" customHeight="1" x14ac:dyDescent="0.25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</row>
    <row r="208" spans="1:25" ht="15.75" customHeight="1" x14ac:dyDescent="0.25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</row>
    <row r="209" spans="1:25" ht="15.75" customHeight="1" x14ac:dyDescent="0.25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</row>
    <row r="210" spans="1:25" ht="15.75" customHeight="1" x14ac:dyDescent="0.25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</row>
    <row r="211" spans="1:25" ht="15.75" customHeight="1" x14ac:dyDescent="0.25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</row>
    <row r="212" spans="1:25" ht="15.75" customHeight="1" x14ac:dyDescent="0.25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</row>
    <row r="213" spans="1:25" ht="15.75" customHeight="1" x14ac:dyDescent="0.25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</row>
    <row r="214" spans="1:25" ht="15.75" customHeight="1" x14ac:dyDescent="0.25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</row>
    <row r="215" spans="1:25" ht="15.75" customHeight="1" x14ac:dyDescent="0.2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</row>
    <row r="216" spans="1:25" ht="15.75" customHeight="1" x14ac:dyDescent="0.25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</row>
    <row r="217" spans="1:25" ht="15.75" customHeight="1" x14ac:dyDescent="0.25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</row>
    <row r="218" spans="1:25" ht="15.75" customHeight="1" x14ac:dyDescent="0.25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</row>
    <row r="219" spans="1:25" ht="15.75" customHeight="1" x14ac:dyDescent="0.25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</row>
    <row r="220" spans="1:25" ht="15.75" customHeight="1" x14ac:dyDescent="0.25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</row>
    <row r="221" spans="1:25" ht="15.75" customHeight="1" x14ac:dyDescent="0.25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</row>
    <row r="222" spans="1:25" ht="15.75" customHeight="1" x14ac:dyDescent="0.25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</row>
    <row r="223" spans="1:25" ht="15.75" customHeight="1" x14ac:dyDescent="0.25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</row>
    <row r="224" spans="1:25" ht="15.75" customHeight="1" x14ac:dyDescent="0.25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</row>
    <row r="225" spans="1:25" ht="15.75" customHeight="1" x14ac:dyDescent="0.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</row>
    <row r="226" spans="1:25" ht="15.75" customHeight="1" x14ac:dyDescent="0.25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</row>
    <row r="227" spans="1:25" ht="15.75" customHeight="1" x14ac:dyDescent="0.25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</row>
    <row r="228" spans="1:25" ht="15.75" customHeight="1" x14ac:dyDescent="0.25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</row>
    <row r="229" spans="1:25" ht="15.75" customHeight="1" x14ac:dyDescent="0.25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</row>
    <row r="230" spans="1:25" ht="15.75" customHeight="1" x14ac:dyDescent="0.25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</row>
    <row r="231" spans="1:25" ht="15.75" customHeight="1" x14ac:dyDescent="0.25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</row>
    <row r="232" spans="1:25" ht="15.75" customHeight="1" x14ac:dyDescent="0.25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</row>
    <row r="233" spans="1:25" ht="15.75" customHeight="1" x14ac:dyDescent="0.25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</row>
    <row r="234" spans="1:25" ht="15.75" customHeight="1" x14ac:dyDescent="0.25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</row>
    <row r="235" spans="1:25" ht="15.75" customHeight="1" x14ac:dyDescent="0.2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</row>
    <row r="236" spans="1:25" ht="15.75" customHeight="1" x14ac:dyDescent="0.25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</row>
    <row r="237" spans="1:25" ht="15.75" customHeight="1" x14ac:dyDescent="0.25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</row>
    <row r="238" spans="1:25" ht="15.75" customHeight="1" x14ac:dyDescent="0.25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</row>
    <row r="239" spans="1:25" ht="15.75" customHeight="1" x14ac:dyDescent="0.25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</row>
    <row r="240" spans="1:25" ht="15.75" customHeight="1" x14ac:dyDescent="0.25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</row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</sheetData>
  <mergeCells count="16">
    <mergeCell ref="A8:A9"/>
    <mergeCell ref="C10:D10"/>
    <mergeCell ref="E15:E16"/>
    <mergeCell ref="A40:E40"/>
    <mergeCell ref="A11:G12"/>
    <mergeCell ref="B13:G13"/>
    <mergeCell ref="A15:A16"/>
    <mergeCell ref="B15:B16"/>
    <mergeCell ref="C15:C16"/>
    <mergeCell ref="D15:D16"/>
    <mergeCell ref="F15:F16"/>
    <mergeCell ref="A2:G2"/>
    <mergeCell ref="A4:B4"/>
    <mergeCell ref="C4:G4"/>
    <mergeCell ref="B6:G6"/>
    <mergeCell ref="B7:G7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Y1019"/>
  <sheetViews>
    <sheetView topLeftCell="A4" workbookViewId="0">
      <selection activeCell="G16" sqref="G16:I41"/>
    </sheetView>
  </sheetViews>
  <sheetFormatPr defaultColWidth="12.6640625" defaultRowHeight="15" customHeight="1" x14ac:dyDescent="0.25"/>
  <cols>
    <col min="1" max="1" width="16.6640625" customWidth="1"/>
    <col min="2" max="2" width="30.77734375" customWidth="1"/>
    <col min="3" max="3" width="9.21875" customWidth="1"/>
    <col min="4" max="4" width="9.44140625" customWidth="1"/>
    <col min="5" max="5" width="17.21875" customWidth="1"/>
    <col min="6" max="6" width="20.6640625" customWidth="1"/>
  </cols>
  <sheetData>
    <row r="1" spans="1:25" ht="15.75" customHeight="1" x14ac:dyDescent="0.25"/>
    <row r="2" spans="1:25" ht="15.75" customHeight="1" x14ac:dyDescent="0.25">
      <c r="A2" s="150"/>
      <c r="B2" s="151"/>
      <c r="C2" s="151"/>
      <c r="D2" s="151"/>
      <c r="E2" s="151"/>
      <c r="F2" s="151"/>
    </row>
    <row r="3" spans="1:25" ht="15.75" customHeight="1" x14ac:dyDescent="0.25">
      <c r="A3" s="38"/>
      <c r="B3" s="38"/>
      <c r="C3" s="39"/>
      <c r="D3" s="38"/>
      <c r="E3" s="36"/>
      <c r="F3" s="37"/>
      <c r="G3" s="38"/>
      <c r="H3" s="38"/>
      <c r="I3" s="38"/>
    </row>
    <row r="4" spans="1:25" ht="15.75" customHeight="1" x14ac:dyDescent="0.25">
      <c r="A4" s="152" t="s">
        <v>49</v>
      </c>
      <c r="B4" s="153"/>
      <c r="C4" s="154">
        <f>'SIKLUS MENU'!F3</f>
        <v>46227</v>
      </c>
      <c r="D4" s="153"/>
      <c r="E4" s="153"/>
      <c r="F4" s="153"/>
      <c r="G4" s="38"/>
      <c r="H4" s="38"/>
      <c r="I4" s="38"/>
    </row>
    <row r="5" spans="1:25" ht="15.75" customHeight="1" x14ac:dyDescent="0.3">
      <c r="A5" s="40" t="s">
        <v>50</v>
      </c>
      <c r="B5" s="41">
        <f>C4-1</f>
        <v>46226</v>
      </c>
      <c r="C5" s="42"/>
      <c r="D5" s="43"/>
      <c r="E5" s="44"/>
      <c r="F5" s="45"/>
      <c r="G5" s="38"/>
      <c r="H5" s="38"/>
      <c r="I5" s="38"/>
    </row>
    <row r="6" spans="1:25" ht="15.75" customHeight="1" x14ac:dyDescent="0.3">
      <c r="A6" s="40" t="s">
        <v>51</v>
      </c>
      <c r="B6" s="155" t="s">
        <v>52</v>
      </c>
      <c r="C6" s="153"/>
      <c r="D6" s="153"/>
      <c r="E6" s="153"/>
      <c r="F6" s="156"/>
      <c r="G6" s="38"/>
      <c r="H6" s="38"/>
      <c r="I6" s="38"/>
    </row>
    <row r="7" spans="1:25" ht="15.75" customHeight="1" x14ac:dyDescent="0.3">
      <c r="A7" s="40" t="s">
        <v>53</v>
      </c>
      <c r="B7" s="157">
        <f>C4</f>
        <v>46227</v>
      </c>
      <c r="C7" s="153"/>
      <c r="D7" s="153"/>
      <c r="E7" s="153"/>
      <c r="F7" s="156"/>
      <c r="G7" s="38"/>
      <c r="H7" s="38"/>
      <c r="I7" s="38"/>
    </row>
    <row r="8" spans="1:25" ht="15.75" customHeight="1" x14ac:dyDescent="0.3">
      <c r="A8" s="158" t="s">
        <v>54</v>
      </c>
      <c r="B8" s="47" t="s">
        <v>55</v>
      </c>
      <c r="C8" s="84">
        <v>643</v>
      </c>
      <c r="D8" s="49">
        <v>8000</v>
      </c>
      <c r="E8" s="50">
        <f t="shared" ref="E8:E9" si="0">D8*C8</f>
        <v>5144000</v>
      </c>
      <c r="F8" s="51"/>
      <c r="G8" s="53"/>
      <c r="H8" s="53"/>
      <c r="I8" s="53"/>
    </row>
    <row r="9" spans="1:25" ht="15.75" customHeight="1" x14ac:dyDescent="0.3">
      <c r="A9" s="159"/>
      <c r="B9" s="54" t="s">
        <v>56</v>
      </c>
      <c r="C9" s="85">
        <v>506</v>
      </c>
      <c r="D9" s="55">
        <v>10000</v>
      </c>
      <c r="E9" s="50">
        <f t="shared" si="0"/>
        <v>5060000</v>
      </c>
      <c r="F9" s="56"/>
      <c r="G9" s="53"/>
      <c r="H9" s="53"/>
      <c r="I9" s="53"/>
    </row>
    <row r="10" spans="1:25" ht="15.75" customHeight="1" x14ac:dyDescent="0.35">
      <c r="A10" s="58"/>
      <c r="B10" s="59" t="s">
        <v>57</v>
      </c>
      <c r="C10" s="160">
        <f>SUM(C8:C9)</f>
        <v>1149</v>
      </c>
      <c r="D10" s="153"/>
      <c r="E10" s="60">
        <f>SUM(E8:E9)</f>
        <v>10204000</v>
      </c>
      <c r="F10" s="56"/>
      <c r="G10" s="53"/>
      <c r="H10" s="53"/>
      <c r="I10" s="53"/>
    </row>
    <row r="11" spans="1:25" ht="15.75" customHeight="1" x14ac:dyDescent="0.25">
      <c r="A11" s="166" t="s">
        <v>58</v>
      </c>
      <c r="B11" s="167"/>
      <c r="C11" s="167"/>
      <c r="D11" s="167"/>
      <c r="E11" s="167"/>
      <c r="F11" s="168"/>
      <c r="G11" s="38"/>
      <c r="H11" s="38"/>
      <c r="I11" s="38"/>
    </row>
    <row r="12" spans="1:25" ht="15.75" customHeight="1" x14ac:dyDescent="0.25">
      <c r="A12" s="169"/>
      <c r="B12" s="170"/>
      <c r="C12" s="170"/>
      <c r="D12" s="170"/>
      <c r="E12" s="170"/>
      <c r="F12" s="171"/>
      <c r="G12" s="38"/>
      <c r="H12" s="38"/>
      <c r="I12" s="38"/>
    </row>
    <row r="13" spans="1:25" ht="15.75" customHeight="1" x14ac:dyDescent="0.3">
      <c r="A13" s="61" t="s">
        <v>59</v>
      </c>
      <c r="B13" s="186"/>
      <c r="C13" s="151"/>
      <c r="D13" s="151"/>
      <c r="E13" s="151"/>
      <c r="F13" s="173"/>
      <c r="G13" s="38"/>
      <c r="H13" s="38"/>
      <c r="I13" s="38"/>
    </row>
    <row r="14" spans="1:25" ht="15.75" customHeight="1" x14ac:dyDescent="0.25">
      <c r="A14" s="120"/>
      <c r="B14" s="188"/>
      <c r="C14" s="170"/>
      <c r="D14" s="170"/>
      <c r="E14" s="170"/>
      <c r="F14" s="171"/>
      <c r="G14" s="38"/>
      <c r="H14" s="38"/>
      <c r="I14" s="38"/>
    </row>
    <row r="15" spans="1:25" ht="15.75" customHeight="1" x14ac:dyDescent="0.25">
      <c r="A15" s="174" t="s">
        <v>60</v>
      </c>
      <c r="B15" s="176" t="s">
        <v>61</v>
      </c>
      <c r="C15" s="178" t="s">
        <v>62</v>
      </c>
      <c r="D15" s="179" t="s">
        <v>63</v>
      </c>
      <c r="E15" s="161" t="s">
        <v>64</v>
      </c>
      <c r="F15" s="179" t="s">
        <v>65</v>
      </c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</row>
    <row r="16" spans="1:25" ht="15.75" customHeight="1" x14ac:dyDescent="0.25">
      <c r="A16" s="175"/>
      <c r="B16" s="187"/>
      <c r="C16" s="185"/>
      <c r="D16" s="185"/>
      <c r="E16" s="185"/>
      <c r="F16" s="185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</row>
    <row r="17" spans="1:9" ht="15.75" customHeight="1" x14ac:dyDescent="0.3">
      <c r="A17" s="121">
        <v>1</v>
      </c>
      <c r="B17" s="73" t="s">
        <v>133</v>
      </c>
      <c r="C17" s="65">
        <v>33</v>
      </c>
      <c r="D17" s="65" t="s">
        <v>67</v>
      </c>
      <c r="E17" s="122">
        <v>39000</v>
      </c>
      <c r="F17" s="123">
        <f t="shared" ref="F17:F40" si="1">E17*C17</f>
        <v>1287000</v>
      </c>
      <c r="G17" s="88"/>
      <c r="H17" s="88"/>
      <c r="I17" s="88"/>
    </row>
    <row r="18" spans="1:9" ht="15.75" customHeight="1" x14ac:dyDescent="0.3">
      <c r="A18" s="121">
        <v>2</v>
      </c>
      <c r="B18" s="90" t="s">
        <v>134</v>
      </c>
      <c r="C18" s="65">
        <v>0.25</v>
      </c>
      <c r="D18" s="65" t="s">
        <v>67</v>
      </c>
      <c r="E18" s="66">
        <v>28000</v>
      </c>
      <c r="F18" s="123">
        <f t="shared" si="1"/>
        <v>7000</v>
      </c>
      <c r="G18" s="88"/>
      <c r="H18" s="88"/>
      <c r="I18" s="88"/>
    </row>
    <row r="19" spans="1:9" ht="15.75" customHeight="1" x14ac:dyDescent="0.3">
      <c r="A19" s="121">
        <v>3</v>
      </c>
      <c r="B19" s="90" t="s">
        <v>135</v>
      </c>
      <c r="C19" s="65">
        <v>0.5</v>
      </c>
      <c r="D19" s="65" t="s">
        <v>67</v>
      </c>
      <c r="E19" s="124">
        <v>32000</v>
      </c>
      <c r="F19" s="123">
        <f t="shared" si="1"/>
        <v>16000</v>
      </c>
      <c r="G19" s="88"/>
      <c r="H19" s="88"/>
      <c r="I19" s="88"/>
    </row>
    <row r="20" spans="1:9" ht="15.75" customHeight="1" x14ac:dyDescent="0.3">
      <c r="A20" s="121">
        <v>4</v>
      </c>
      <c r="B20" s="90" t="s">
        <v>76</v>
      </c>
      <c r="C20" s="65">
        <v>4</v>
      </c>
      <c r="D20" s="65" t="s">
        <v>67</v>
      </c>
      <c r="E20" s="124">
        <v>27000</v>
      </c>
      <c r="F20" s="123">
        <f t="shared" si="1"/>
        <v>108000</v>
      </c>
      <c r="G20" s="88"/>
      <c r="H20" s="88"/>
      <c r="I20" s="88"/>
    </row>
    <row r="21" spans="1:9" ht="15.75" customHeight="1" x14ac:dyDescent="0.3">
      <c r="A21" s="121">
        <v>5</v>
      </c>
      <c r="B21" s="90" t="s">
        <v>136</v>
      </c>
      <c r="C21" s="65">
        <v>1149</v>
      </c>
      <c r="D21" s="65" t="s">
        <v>69</v>
      </c>
      <c r="E21" s="124">
        <v>3725</v>
      </c>
      <c r="F21" s="123">
        <f t="shared" si="1"/>
        <v>4280025</v>
      </c>
      <c r="G21" s="88"/>
      <c r="H21" s="88"/>
      <c r="I21" s="88"/>
    </row>
    <row r="22" spans="1:9" ht="15.75" customHeight="1" x14ac:dyDescent="0.3">
      <c r="A22" s="121">
        <v>6</v>
      </c>
      <c r="B22" s="90" t="s">
        <v>137</v>
      </c>
      <c r="C22" s="65">
        <v>5</v>
      </c>
      <c r="D22" s="65" t="s">
        <v>67</v>
      </c>
      <c r="E22" s="124">
        <v>56000</v>
      </c>
      <c r="F22" s="123">
        <f t="shared" si="1"/>
        <v>280000</v>
      </c>
      <c r="G22" s="88"/>
      <c r="H22" s="88"/>
      <c r="I22" s="88"/>
    </row>
    <row r="23" spans="1:9" ht="15.75" customHeight="1" x14ac:dyDescent="0.3">
      <c r="A23" s="121">
        <v>7</v>
      </c>
      <c r="B23" s="90" t="s">
        <v>138</v>
      </c>
      <c r="C23" s="65">
        <v>576</v>
      </c>
      <c r="D23" s="65" t="s">
        <v>139</v>
      </c>
      <c r="E23" s="122">
        <v>2800</v>
      </c>
      <c r="F23" s="123">
        <f t="shared" si="1"/>
        <v>1612800</v>
      </c>
      <c r="G23" s="88"/>
      <c r="H23" s="88"/>
      <c r="I23" s="88"/>
    </row>
    <row r="24" spans="1:9" ht="15.75" customHeight="1" x14ac:dyDescent="0.3">
      <c r="A24" s="121">
        <v>8</v>
      </c>
      <c r="B24" s="90" t="s">
        <v>70</v>
      </c>
      <c r="C24" s="65">
        <v>1</v>
      </c>
      <c r="D24" s="65" t="s">
        <v>67</v>
      </c>
      <c r="E24" s="122">
        <v>14000</v>
      </c>
      <c r="F24" s="123">
        <f t="shared" si="1"/>
        <v>14000</v>
      </c>
      <c r="G24" s="88"/>
      <c r="H24" s="88"/>
      <c r="I24" s="88"/>
    </row>
    <row r="25" spans="1:9" ht="15.75" customHeight="1" x14ac:dyDescent="0.3">
      <c r="A25" s="121">
        <v>9</v>
      </c>
      <c r="B25" s="90" t="s">
        <v>140</v>
      </c>
      <c r="C25" s="65">
        <v>50</v>
      </c>
      <c r="D25" s="65" t="s">
        <v>67</v>
      </c>
      <c r="E25" s="122">
        <v>70000</v>
      </c>
      <c r="F25" s="123">
        <f t="shared" si="1"/>
        <v>3500000</v>
      </c>
      <c r="G25" s="88"/>
      <c r="H25" s="88"/>
      <c r="I25" s="88"/>
    </row>
    <row r="26" spans="1:9" ht="15.75" customHeight="1" x14ac:dyDescent="0.3">
      <c r="A26" s="121">
        <v>10</v>
      </c>
      <c r="B26" s="90" t="s">
        <v>141</v>
      </c>
      <c r="C26" s="65">
        <v>1</v>
      </c>
      <c r="D26" s="65" t="s">
        <v>96</v>
      </c>
      <c r="E26" s="122">
        <v>12000</v>
      </c>
      <c r="F26" s="123">
        <f t="shared" si="1"/>
        <v>12000</v>
      </c>
      <c r="G26" s="88"/>
      <c r="H26" s="88"/>
      <c r="I26" s="88"/>
    </row>
    <row r="27" spans="1:9" ht="15.75" customHeight="1" x14ac:dyDescent="0.3">
      <c r="A27" s="121">
        <v>11</v>
      </c>
      <c r="B27" s="109"/>
      <c r="C27" s="65"/>
      <c r="D27" s="65"/>
      <c r="E27" s="122"/>
      <c r="F27" s="123">
        <f t="shared" si="1"/>
        <v>0</v>
      </c>
      <c r="G27" s="88"/>
      <c r="H27" s="88"/>
      <c r="I27" s="88"/>
    </row>
    <row r="28" spans="1:9" ht="15.75" customHeight="1" x14ac:dyDescent="0.3">
      <c r="A28" s="121">
        <v>12</v>
      </c>
      <c r="B28" s="108"/>
      <c r="C28" s="65"/>
      <c r="D28" s="65"/>
      <c r="E28" s="122"/>
      <c r="F28" s="123">
        <f t="shared" si="1"/>
        <v>0</v>
      </c>
      <c r="G28" s="88"/>
      <c r="H28" s="88"/>
      <c r="I28" s="88"/>
    </row>
    <row r="29" spans="1:9" ht="15.75" customHeight="1" x14ac:dyDescent="0.3">
      <c r="A29" s="121">
        <v>13</v>
      </c>
      <c r="B29" s="108"/>
      <c r="C29" s="65"/>
      <c r="D29" s="65"/>
      <c r="E29" s="122"/>
      <c r="F29" s="123">
        <f t="shared" si="1"/>
        <v>0</v>
      </c>
      <c r="G29" s="88"/>
      <c r="H29" s="88"/>
      <c r="I29" s="88"/>
    </row>
    <row r="30" spans="1:9" ht="15.75" customHeight="1" x14ac:dyDescent="0.3">
      <c r="A30" s="121">
        <v>14</v>
      </c>
      <c r="B30" s="108"/>
      <c r="C30" s="65"/>
      <c r="D30" s="65"/>
      <c r="E30" s="122"/>
      <c r="F30" s="123">
        <f t="shared" si="1"/>
        <v>0</v>
      </c>
      <c r="G30" s="88"/>
      <c r="H30" s="88"/>
      <c r="I30" s="88"/>
    </row>
    <row r="31" spans="1:9" ht="15.75" customHeight="1" x14ac:dyDescent="0.3">
      <c r="A31" s="121">
        <v>15</v>
      </c>
      <c r="B31" s="108"/>
      <c r="C31" s="65"/>
      <c r="D31" s="65"/>
      <c r="E31" s="122"/>
      <c r="F31" s="123">
        <f t="shared" si="1"/>
        <v>0</v>
      </c>
      <c r="G31" s="88"/>
      <c r="H31" s="88"/>
      <c r="I31" s="88"/>
    </row>
    <row r="32" spans="1:9" ht="15.75" customHeight="1" x14ac:dyDescent="0.3">
      <c r="A32" s="121">
        <v>16</v>
      </c>
      <c r="B32" s="125"/>
      <c r="C32" s="77"/>
      <c r="D32" s="65"/>
      <c r="E32" s="114"/>
      <c r="F32" s="123">
        <f t="shared" si="1"/>
        <v>0</v>
      </c>
      <c r="G32" s="88"/>
      <c r="H32" s="88"/>
      <c r="I32" s="88"/>
    </row>
    <row r="33" spans="1:24" ht="15.75" customHeight="1" x14ac:dyDescent="0.3">
      <c r="A33" s="121">
        <v>17</v>
      </c>
      <c r="B33" s="109"/>
      <c r="C33" s="65"/>
      <c r="D33" s="65"/>
      <c r="E33" s="116"/>
      <c r="F33" s="123">
        <f t="shared" si="1"/>
        <v>0</v>
      </c>
      <c r="G33" s="88"/>
      <c r="H33" s="88"/>
      <c r="I33" s="88"/>
    </row>
    <row r="34" spans="1:24" ht="15.75" customHeight="1" x14ac:dyDescent="0.3">
      <c r="A34" s="121">
        <v>18</v>
      </c>
      <c r="B34" s="125"/>
      <c r="C34" s="77"/>
      <c r="D34" s="65"/>
      <c r="E34" s="126"/>
      <c r="F34" s="123">
        <f t="shared" si="1"/>
        <v>0</v>
      </c>
      <c r="G34" s="88"/>
      <c r="H34" s="88"/>
      <c r="I34" s="88"/>
    </row>
    <row r="35" spans="1:24" ht="15.75" customHeight="1" x14ac:dyDescent="0.3">
      <c r="A35" s="121">
        <v>19</v>
      </c>
      <c r="B35" s="125"/>
      <c r="C35" s="77"/>
      <c r="D35" s="65"/>
      <c r="E35" s="126"/>
      <c r="F35" s="123">
        <f t="shared" si="1"/>
        <v>0</v>
      </c>
      <c r="G35" s="88"/>
      <c r="H35" s="88"/>
      <c r="I35" s="88"/>
    </row>
    <row r="36" spans="1:24" ht="15.75" customHeight="1" x14ac:dyDescent="0.3">
      <c r="A36" s="121">
        <v>20</v>
      </c>
      <c r="B36" s="125"/>
      <c r="C36" s="77"/>
      <c r="D36" s="77"/>
      <c r="E36" s="126"/>
      <c r="F36" s="123">
        <f t="shared" si="1"/>
        <v>0</v>
      </c>
      <c r="G36" s="88"/>
      <c r="H36" s="88"/>
      <c r="I36" s="88"/>
    </row>
    <row r="37" spans="1:24" ht="15.75" customHeight="1" x14ac:dyDescent="0.3">
      <c r="A37" s="121">
        <v>21</v>
      </c>
      <c r="B37" s="125"/>
      <c r="C37" s="77"/>
      <c r="D37" s="77"/>
      <c r="E37" s="126"/>
      <c r="F37" s="123">
        <f t="shared" si="1"/>
        <v>0</v>
      </c>
      <c r="G37" s="88"/>
      <c r="H37" s="88"/>
      <c r="I37" s="88"/>
    </row>
    <row r="38" spans="1:24" ht="15.75" customHeight="1" x14ac:dyDescent="0.3">
      <c r="A38" s="121">
        <v>22</v>
      </c>
      <c r="B38" s="125"/>
      <c r="C38" s="77"/>
      <c r="D38" s="77"/>
      <c r="E38" s="126"/>
      <c r="F38" s="123">
        <f t="shared" si="1"/>
        <v>0</v>
      </c>
      <c r="G38" s="88"/>
      <c r="H38" s="88"/>
      <c r="I38" s="88"/>
    </row>
    <row r="39" spans="1:24" ht="15.75" customHeight="1" x14ac:dyDescent="0.3">
      <c r="A39" s="121">
        <v>23</v>
      </c>
      <c r="B39" s="125"/>
      <c r="C39" s="77"/>
      <c r="D39" s="77"/>
      <c r="E39" s="126"/>
      <c r="F39" s="123">
        <f t="shared" si="1"/>
        <v>0</v>
      </c>
      <c r="G39" s="88"/>
      <c r="H39" s="88"/>
      <c r="I39" s="88"/>
    </row>
    <row r="40" spans="1:24" ht="15.75" customHeight="1" x14ac:dyDescent="0.3">
      <c r="A40" s="121">
        <v>24</v>
      </c>
      <c r="B40" s="127"/>
      <c r="C40" s="128"/>
      <c r="D40" s="128"/>
      <c r="E40" s="129"/>
      <c r="F40" s="123">
        <f t="shared" si="1"/>
        <v>0</v>
      </c>
      <c r="G40" s="88"/>
      <c r="H40" s="88"/>
      <c r="I40" s="88"/>
    </row>
    <row r="41" spans="1:24" ht="15.75" customHeight="1" x14ac:dyDescent="0.3">
      <c r="A41" s="163" t="s">
        <v>93</v>
      </c>
      <c r="B41" s="164"/>
      <c r="C41" s="164"/>
      <c r="D41" s="164"/>
      <c r="E41" s="165"/>
      <c r="F41" s="83">
        <f>SUM(F17:F40)</f>
        <v>11116825</v>
      </c>
      <c r="G41" s="88"/>
      <c r="H41" s="88"/>
      <c r="I41" s="8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</row>
    <row r="42" spans="1:24" ht="15.75" customHeight="1" x14ac:dyDescent="0.25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</row>
    <row r="43" spans="1:24" ht="15.75" customHeight="1" x14ac:dyDescent="0.25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</row>
    <row r="44" spans="1:24" ht="15.75" customHeight="1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</row>
    <row r="45" spans="1:24" ht="15.75" customHeight="1" x14ac:dyDescent="0.2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</row>
    <row r="46" spans="1:24" ht="15.75" customHeight="1" x14ac:dyDescent="0.25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</row>
    <row r="47" spans="1:24" ht="15.75" customHeight="1" x14ac:dyDescent="0.25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</row>
    <row r="48" spans="1:24" ht="15.75" customHeight="1" x14ac:dyDescent="0.25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</row>
    <row r="49" spans="1:24" ht="15.75" customHeight="1" x14ac:dyDescent="0.25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</row>
    <row r="50" spans="1:24" ht="15.75" customHeight="1" x14ac:dyDescent="0.25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</row>
    <row r="51" spans="1:24" ht="15.75" customHeight="1" x14ac:dyDescent="0.25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</row>
    <row r="52" spans="1:24" ht="15.75" customHeight="1" x14ac:dyDescent="0.25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</row>
    <row r="53" spans="1:24" ht="15.75" customHeight="1" x14ac:dyDescent="0.25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</row>
    <row r="54" spans="1:24" ht="15.75" customHeight="1" x14ac:dyDescent="0.25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</row>
    <row r="55" spans="1:24" ht="15.75" customHeight="1" x14ac:dyDescent="0.2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</row>
    <row r="56" spans="1:24" ht="15.75" customHeight="1" x14ac:dyDescent="0.25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</row>
    <row r="57" spans="1:24" ht="15.75" customHeight="1" x14ac:dyDescent="0.25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</row>
    <row r="58" spans="1:24" ht="15.75" customHeight="1" x14ac:dyDescent="0.25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</row>
    <row r="59" spans="1:24" ht="15.75" customHeight="1" x14ac:dyDescent="0.25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</row>
    <row r="60" spans="1:24" ht="15.75" customHeight="1" x14ac:dyDescent="0.25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</row>
    <row r="61" spans="1:24" ht="15.75" customHeight="1" x14ac:dyDescent="0.25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</row>
    <row r="62" spans="1:24" ht="15.75" customHeight="1" x14ac:dyDescent="0.25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</row>
    <row r="63" spans="1:24" ht="15.75" customHeight="1" x14ac:dyDescent="0.25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</row>
    <row r="64" spans="1:24" ht="15.75" customHeight="1" x14ac:dyDescent="0.25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</row>
    <row r="65" spans="1:24" ht="15.75" customHeight="1" x14ac:dyDescent="0.2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</row>
    <row r="66" spans="1:24" ht="15.75" customHeight="1" x14ac:dyDescent="0.25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</row>
    <row r="67" spans="1:24" ht="15.75" customHeight="1" x14ac:dyDescent="0.25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</row>
    <row r="68" spans="1:24" ht="15.75" customHeight="1" x14ac:dyDescent="0.25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</row>
    <row r="69" spans="1:24" ht="15.75" customHeight="1" x14ac:dyDescent="0.25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</row>
    <row r="70" spans="1:24" ht="15.75" customHeight="1" x14ac:dyDescent="0.25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</row>
    <row r="71" spans="1:24" ht="15.75" customHeight="1" x14ac:dyDescent="0.25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</row>
    <row r="72" spans="1:24" ht="15.75" customHeight="1" x14ac:dyDescent="0.25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</row>
    <row r="73" spans="1:24" ht="15.75" customHeight="1" x14ac:dyDescent="0.25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</row>
    <row r="74" spans="1:24" ht="15.75" customHeight="1" x14ac:dyDescent="0.25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</row>
    <row r="75" spans="1:24" ht="15.75" customHeight="1" x14ac:dyDescent="0.2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</row>
    <row r="76" spans="1:24" ht="15.75" customHeight="1" x14ac:dyDescent="0.25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</row>
    <row r="77" spans="1:24" ht="15.75" customHeight="1" x14ac:dyDescent="0.25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</row>
    <row r="78" spans="1:24" ht="15.75" customHeight="1" x14ac:dyDescent="0.25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</row>
    <row r="79" spans="1:24" ht="15.75" customHeight="1" x14ac:dyDescent="0.25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</row>
    <row r="80" spans="1:24" ht="15.75" customHeight="1" x14ac:dyDescent="0.25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</row>
    <row r="81" spans="1:24" ht="15.75" customHeight="1" x14ac:dyDescent="0.25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</row>
    <row r="82" spans="1:24" ht="15.75" customHeight="1" x14ac:dyDescent="0.25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</row>
    <row r="83" spans="1:24" ht="15.75" customHeight="1" x14ac:dyDescent="0.25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</row>
    <row r="84" spans="1:24" ht="15.75" customHeight="1" x14ac:dyDescent="0.25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</row>
    <row r="85" spans="1:24" ht="15.75" customHeight="1" x14ac:dyDescent="0.2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</row>
    <row r="86" spans="1:24" ht="15.75" customHeight="1" x14ac:dyDescent="0.25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</row>
    <row r="87" spans="1:24" ht="15.75" customHeight="1" x14ac:dyDescent="0.25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</row>
    <row r="88" spans="1:24" ht="15.75" customHeight="1" x14ac:dyDescent="0.25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</row>
    <row r="89" spans="1:24" ht="15.75" customHeight="1" x14ac:dyDescent="0.25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</row>
    <row r="90" spans="1:24" ht="15.75" customHeight="1" x14ac:dyDescent="0.25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</row>
    <row r="91" spans="1:24" ht="15.75" customHeight="1" x14ac:dyDescent="0.25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</row>
    <row r="92" spans="1:24" ht="15.75" customHeight="1" x14ac:dyDescent="0.25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</row>
    <row r="93" spans="1:24" ht="15.75" customHeight="1" x14ac:dyDescent="0.25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</row>
    <row r="94" spans="1:24" ht="15.75" customHeight="1" x14ac:dyDescent="0.25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</row>
    <row r="95" spans="1:24" ht="15.75" customHeight="1" x14ac:dyDescent="0.2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</row>
    <row r="96" spans="1:24" ht="15.75" customHeight="1" x14ac:dyDescent="0.25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</row>
    <row r="97" spans="1:24" ht="15.75" customHeight="1" x14ac:dyDescent="0.25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</row>
    <row r="98" spans="1:24" ht="15.75" customHeight="1" x14ac:dyDescent="0.25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</row>
    <row r="99" spans="1:24" ht="15.75" customHeight="1" x14ac:dyDescent="0.25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</row>
    <row r="100" spans="1:24" ht="15.75" customHeight="1" x14ac:dyDescent="0.25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</row>
    <row r="101" spans="1:24" ht="15.75" customHeight="1" x14ac:dyDescent="0.25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</row>
    <row r="102" spans="1:24" ht="15.75" customHeight="1" x14ac:dyDescent="0.25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</row>
    <row r="103" spans="1:24" ht="15.75" customHeight="1" x14ac:dyDescent="0.25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</row>
    <row r="104" spans="1:24" ht="15.75" customHeight="1" x14ac:dyDescent="0.25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</row>
    <row r="105" spans="1:24" ht="15.75" customHeight="1" x14ac:dyDescent="0.2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</row>
    <row r="106" spans="1:24" ht="15.75" customHeight="1" x14ac:dyDescent="0.25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</row>
    <row r="107" spans="1:24" ht="15.75" customHeight="1" x14ac:dyDescent="0.25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</row>
    <row r="108" spans="1:24" ht="15.75" customHeight="1" x14ac:dyDescent="0.25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</row>
    <row r="109" spans="1:24" ht="15.75" customHeight="1" x14ac:dyDescent="0.25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</row>
    <row r="110" spans="1:24" ht="15.75" customHeight="1" x14ac:dyDescent="0.25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</row>
    <row r="111" spans="1:24" ht="15.75" customHeight="1" x14ac:dyDescent="0.25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</row>
    <row r="112" spans="1:24" ht="15.75" customHeight="1" x14ac:dyDescent="0.25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</row>
    <row r="113" spans="1:24" ht="15.75" customHeight="1" x14ac:dyDescent="0.25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</row>
    <row r="114" spans="1:24" ht="15.75" customHeight="1" x14ac:dyDescent="0.25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</row>
    <row r="115" spans="1:24" ht="15.75" customHeight="1" x14ac:dyDescent="0.2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</row>
    <row r="116" spans="1:24" ht="15.75" customHeight="1" x14ac:dyDescent="0.25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</row>
    <row r="117" spans="1:24" ht="15.75" customHeight="1" x14ac:dyDescent="0.25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</row>
    <row r="118" spans="1:24" ht="15.75" customHeight="1" x14ac:dyDescent="0.25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</row>
    <row r="119" spans="1:24" ht="15.75" customHeight="1" x14ac:dyDescent="0.25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</row>
    <row r="120" spans="1:24" ht="15.75" customHeight="1" x14ac:dyDescent="0.25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</row>
    <row r="121" spans="1:24" ht="15.75" customHeight="1" x14ac:dyDescent="0.25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</row>
    <row r="122" spans="1:24" ht="15.75" customHeight="1" x14ac:dyDescent="0.25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</row>
    <row r="123" spans="1:24" ht="15.75" customHeight="1" x14ac:dyDescent="0.25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</row>
    <row r="124" spans="1:24" ht="15.75" customHeight="1" x14ac:dyDescent="0.25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</row>
    <row r="125" spans="1:24" ht="15.75" customHeight="1" x14ac:dyDescent="0.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</row>
    <row r="126" spans="1:24" ht="15.75" customHeight="1" x14ac:dyDescent="0.25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</row>
    <row r="127" spans="1:24" ht="15.75" customHeight="1" x14ac:dyDescent="0.25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</row>
    <row r="128" spans="1:24" ht="15.75" customHeight="1" x14ac:dyDescent="0.25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</row>
    <row r="129" spans="1:24" ht="15.75" customHeight="1" x14ac:dyDescent="0.25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</row>
    <row r="130" spans="1:24" ht="15.75" customHeight="1" x14ac:dyDescent="0.25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</row>
    <row r="131" spans="1:24" ht="15.75" customHeight="1" x14ac:dyDescent="0.25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</row>
    <row r="132" spans="1:24" ht="15.75" customHeight="1" x14ac:dyDescent="0.25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</row>
    <row r="133" spans="1:24" ht="15.75" customHeight="1" x14ac:dyDescent="0.25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</row>
    <row r="134" spans="1:24" ht="15.75" customHeight="1" x14ac:dyDescent="0.25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</row>
    <row r="135" spans="1:24" ht="15.75" customHeight="1" x14ac:dyDescent="0.2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</row>
    <row r="136" spans="1:24" ht="15.75" customHeight="1" x14ac:dyDescent="0.25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</row>
    <row r="137" spans="1:24" ht="15.75" customHeight="1" x14ac:dyDescent="0.25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</row>
    <row r="138" spans="1:24" ht="15.75" customHeight="1" x14ac:dyDescent="0.25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</row>
    <row r="139" spans="1:24" ht="15.75" customHeight="1" x14ac:dyDescent="0.25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</row>
    <row r="140" spans="1:24" ht="15.75" customHeight="1" x14ac:dyDescent="0.25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</row>
    <row r="141" spans="1:24" ht="15.75" customHeight="1" x14ac:dyDescent="0.25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</row>
    <row r="142" spans="1:24" ht="15.75" customHeight="1" x14ac:dyDescent="0.25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</row>
    <row r="143" spans="1:24" ht="15.75" customHeight="1" x14ac:dyDescent="0.25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</row>
    <row r="144" spans="1:24" ht="15.75" customHeight="1" x14ac:dyDescent="0.25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</row>
    <row r="145" spans="1:24" ht="15.75" customHeight="1" x14ac:dyDescent="0.2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</row>
    <row r="146" spans="1:24" ht="15.75" customHeight="1" x14ac:dyDescent="0.25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</row>
    <row r="147" spans="1:24" ht="15.75" customHeight="1" x14ac:dyDescent="0.25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</row>
    <row r="148" spans="1:24" ht="15.75" customHeight="1" x14ac:dyDescent="0.25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</row>
    <row r="149" spans="1:24" ht="15.75" customHeight="1" x14ac:dyDescent="0.25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</row>
    <row r="150" spans="1:24" ht="15.75" customHeight="1" x14ac:dyDescent="0.25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</row>
    <row r="151" spans="1:24" ht="15.75" customHeight="1" x14ac:dyDescent="0.25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</row>
    <row r="152" spans="1:24" ht="15.75" customHeight="1" x14ac:dyDescent="0.25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</row>
    <row r="153" spans="1:24" ht="15.75" customHeight="1" x14ac:dyDescent="0.25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</row>
    <row r="154" spans="1:24" ht="15.75" customHeight="1" x14ac:dyDescent="0.25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</row>
    <row r="155" spans="1:24" ht="15.75" customHeight="1" x14ac:dyDescent="0.2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</row>
    <row r="156" spans="1:24" ht="15.75" customHeight="1" x14ac:dyDescent="0.25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</row>
    <row r="157" spans="1:24" ht="15.75" customHeight="1" x14ac:dyDescent="0.25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</row>
    <row r="158" spans="1:24" ht="15.75" customHeight="1" x14ac:dyDescent="0.25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</row>
    <row r="159" spans="1:24" ht="15.75" customHeight="1" x14ac:dyDescent="0.25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</row>
    <row r="160" spans="1:24" ht="15.75" customHeight="1" x14ac:dyDescent="0.25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</row>
    <row r="161" spans="1:24" ht="15.75" customHeight="1" x14ac:dyDescent="0.25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</row>
    <row r="162" spans="1:24" ht="15.75" customHeight="1" x14ac:dyDescent="0.25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</row>
    <row r="163" spans="1:24" ht="15.75" customHeight="1" x14ac:dyDescent="0.25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</row>
    <row r="164" spans="1:24" ht="15.75" customHeight="1" x14ac:dyDescent="0.25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</row>
    <row r="165" spans="1:24" ht="15.75" customHeight="1" x14ac:dyDescent="0.2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</row>
    <row r="166" spans="1:24" ht="15.75" customHeight="1" x14ac:dyDescent="0.25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</row>
    <row r="167" spans="1:24" ht="15.75" customHeight="1" x14ac:dyDescent="0.25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</row>
    <row r="168" spans="1:24" ht="15.75" customHeight="1" x14ac:dyDescent="0.25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</row>
    <row r="169" spans="1:24" ht="15.75" customHeight="1" x14ac:dyDescent="0.25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</row>
    <row r="170" spans="1:24" ht="15.75" customHeight="1" x14ac:dyDescent="0.25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</row>
    <row r="171" spans="1:24" ht="15.75" customHeight="1" x14ac:dyDescent="0.25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</row>
    <row r="172" spans="1:24" ht="15.75" customHeight="1" x14ac:dyDescent="0.25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</row>
    <row r="173" spans="1:24" ht="15.75" customHeight="1" x14ac:dyDescent="0.25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</row>
    <row r="174" spans="1:24" ht="15.75" customHeight="1" x14ac:dyDescent="0.25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</row>
    <row r="175" spans="1:24" ht="15.75" customHeight="1" x14ac:dyDescent="0.2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</row>
    <row r="176" spans="1:24" ht="15.75" customHeight="1" x14ac:dyDescent="0.25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</row>
    <row r="177" spans="1:24" ht="15.75" customHeight="1" x14ac:dyDescent="0.25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</row>
    <row r="178" spans="1:24" ht="15.75" customHeight="1" x14ac:dyDescent="0.25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</row>
    <row r="179" spans="1:24" ht="15.75" customHeight="1" x14ac:dyDescent="0.25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</row>
    <row r="180" spans="1:24" ht="15.75" customHeight="1" x14ac:dyDescent="0.25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</row>
    <row r="181" spans="1:24" ht="15.75" customHeight="1" x14ac:dyDescent="0.25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</row>
    <row r="182" spans="1:24" ht="15.75" customHeight="1" x14ac:dyDescent="0.25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</row>
    <row r="183" spans="1:24" ht="15.75" customHeight="1" x14ac:dyDescent="0.25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</row>
    <row r="184" spans="1:24" ht="15.75" customHeight="1" x14ac:dyDescent="0.25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</row>
    <row r="185" spans="1:24" ht="15.75" customHeight="1" x14ac:dyDescent="0.2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</row>
    <row r="186" spans="1:24" ht="15.75" customHeight="1" x14ac:dyDescent="0.25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</row>
    <row r="187" spans="1:24" ht="15.75" customHeight="1" x14ac:dyDescent="0.25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</row>
    <row r="188" spans="1:24" ht="15.75" customHeight="1" x14ac:dyDescent="0.25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</row>
    <row r="189" spans="1:24" ht="15.75" customHeight="1" x14ac:dyDescent="0.25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</row>
    <row r="190" spans="1:24" ht="15.75" customHeight="1" x14ac:dyDescent="0.25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</row>
    <row r="191" spans="1:24" ht="15.75" customHeight="1" x14ac:dyDescent="0.25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</row>
    <row r="192" spans="1:24" ht="15.75" customHeight="1" x14ac:dyDescent="0.25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</row>
    <row r="193" spans="1:24" ht="15.75" customHeight="1" x14ac:dyDescent="0.25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</row>
    <row r="194" spans="1:24" ht="15.75" customHeight="1" x14ac:dyDescent="0.25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</row>
    <row r="195" spans="1:24" ht="15.75" customHeight="1" x14ac:dyDescent="0.2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</row>
    <row r="196" spans="1:24" ht="15.75" customHeight="1" x14ac:dyDescent="0.25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</row>
    <row r="197" spans="1:24" ht="15.75" customHeight="1" x14ac:dyDescent="0.25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</row>
    <row r="198" spans="1:24" ht="15.75" customHeight="1" x14ac:dyDescent="0.25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</row>
    <row r="199" spans="1:24" ht="15.75" customHeight="1" x14ac:dyDescent="0.25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</row>
    <row r="200" spans="1:24" ht="15.75" customHeight="1" x14ac:dyDescent="0.25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</row>
    <row r="201" spans="1:24" ht="15.75" customHeight="1" x14ac:dyDescent="0.25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</row>
    <row r="202" spans="1:24" ht="15.75" customHeight="1" x14ac:dyDescent="0.25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</row>
    <row r="203" spans="1:24" ht="15.75" customHeight="1" x14ac:dyDescent="0.25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</row>
    <row r="204" spans="1:24" ht="15.75" customHeight="1" x14ac:dyDescent="0.25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</row>
    <row r="205" spans="1:24" ht="15.75" customHeight="1" x14ac:dyDescent="0.2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</row>
    <row r="206" spans="1:24" ht="15.75" customHeight="1" x14ac:dyDescent="0.25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</row>
    <row r="207" spans="1:24" ht="15.75" customHeight="1" x14ac:dyDescent="0.25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</row>
    <row r="208" spans="1:24" ht="15.75" customHeight="1" x14ac:dyDescent="0.25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</row>
    <row r="209" spans="1:24" ht="15.75" customHeight="1" x14ac:dyDescent="0.25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</row>
    <row r="210" spans="1:24" ht="15.75" customHeight="1" x14ac:dyDescent="0.25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</row>
    <row r="211" spans="1:24" ht="15.75" customHeight="1" x14ac:dyDescent="0.25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</row>
    <row r="212" spans="1:24" ht="15.75" customHeight="1" x14ac:dyDescent="0.25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</row>
    <row r="213" spans="1:24" ht="15.75" customHeight="1" x14ac:dyDescent="0.25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</row>
    <row r="214" spans="1:24" ht="15.75" customHeight="1" x14ac:dyDescent="0.25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</row>
    <row r="215" spans="1:24" ht="15.75" customHeight="1" x14ac:dyDescent="0.2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</row>
    <row r="216" spans="1:24" ht="15.75" customHeight="1" x14ac:dyDescent="0.25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</row>
    <row r="217" spans="1:24" ht="15.75" customHeight="1" x14ac:dyDescent="0.25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</row>
    <row r="218" spans="1:24" ht="15.75" customHeight="1" x14ac:dyDescent="0.25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</row>
    <row r="219" spans="1:24" ht="15.75" customHeight="1" x14ac:dyDescent="0.25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</row>
    <row r="220" spans="1:24" ht="15.75" customHeight="1" x14ac:dyDescent="0.25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</row>
    <row r="221" spans="1:24" ht="15.75" customHeight="1" x14ac:dyDescent="0.25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</row>
    <row r="222" spans="1:24" ht="15.75" customHeight="1" x14ac:dyDescent="0.25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</row>
    <row r="223" spans="1:24" ht="15.75" customHeight="1" x14ac:dyDescent="0.25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</row>
    <row r="224" spans="1:24" ht="15.75" customHeight="1" x14ac:dyDescent="0.25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</row>
    <row r="225" spans="1:24" ht="15.75" customHeight="1" x14ac:dyDescent="0.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</row>
    <row r="226" spans="1:24" ht="15.75" customHeight="1" x14ac:dyDescent="0.25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</row>
    <row r="227" spans="1:24" ht="15.75" customHeight="1" x14ac:dyDescent="0.25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</row>
    <row r="228" spans="1:24" ht="15.75" customHeight="1" x14ac:dyDescent="0.25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</row>
    <row r="229" spans="1:24" ht="15.75" customHeight="1" x14ac:dyDescent="0.25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</row>
    <row r="230" spans="1:24" ht="15.75" customHeight="1" x14ac:dyDescent="0.25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</row>
    <row r="231" spans="1:24" ht="15.75" customHeight="1" x14ac:dyDescent="0.25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</row>
    <row r="232" spans="1:24" ht="15.75" customHeight="1" x14ac:dyDescent="0.25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</row>
    <row r="233" spans="1:24" ht="15.75" customHeight="1" x14ac:dyDescent="0.25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</row>
    <row r="234" spans="1:24" ht="15.75" customHeight="1" x14ac:dyDescent="0.25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</row>
    <row r="235" spans="1:24" ht="15.75" customHeight="1" x14ac:dyDescent="0.2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</row>
    <row r="236" spans="1:24" ht="15.75" customHeight="1" x14ac:dyDescent="0.25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</row>
    <row r="237" spans="1:24" ht="15.75" customHeight="1" x14ac:dyDescent="0.25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</row>
    <row r="238" spans="1:24" ht="15.75" customHeight="1" x14ac:dyDescent="0.25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</row>
    <row r="239" spans="1:24" ht="15.75" customHeight="1" x14ac:dyDescent="0.25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</row>
    <row r="240" spans="1:24" ht="15.75" customHeight="1" x14ac:dyDescent="0.25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</row>
    <row r="241" spans="1:24" ht="15.75" customHeight="1" x14ac:dyDescent="0.25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</row>
    <row r="242" spans="1:24" ht="15.75" customHeight="1" x14ac:dyDescent="0.25"/>
    <row r="243" spans="1:24" ht="15.75" customHeight="1" x14ac:dyDescent="0.25"/>
    <row r="244" spans="1:24" ht="15.75" customHeight="1" x14ac:dyDescent="0.25"/>
    <row r="245" spans="1:24" ht="15.75" customHeight="1" x14ac:dyDescent="0.25"/>
    <row r="246" spans="1:24" ht="15.75" customHeight="1" x14ac:dyDescent="0.25"/>
    <row r="247" spans="1:24" ht="15.75" customHeight="1" x14ac:dyDescent="0.25"/>
    <row r="248" spans="1:24" ht="15.75" customHeight="1" x14ac:dyDescent="0.25"/>
    <row r="249" spans="1:24" ht="15.75" customHeight="1" x14ac:dyDescent="0.25"/>
    <row r="250" spans="1:24" ht="15.75" customHeight="1" x14ac:dyDescent="0.25"/>
    <row r="251" spans="1:24" ht="15.75" customHeight="1" x14ac:dyDescent="0.25"/>
    <row r="252" spans="1:24" ht="15.75" customHeight="1" x14ac:dyDescent="0.25"/>
    <row r="253" spans="1:24" ht="15.75" customHeight="1" x14ac:dyDescent="0.25"/>
    <row r="254" spans="1:24" ht="15.75" customHeight="1" x14ac:dyDescent="0.25"/>
    <row r="255" spans="1:24" ht="15.75" customHeight="1" x14ac:dyDescent="0.25"/>
    <row r="256" spans="1:24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</sheetData>
  <mergeCells count="17">
    <mergeCell ref="A41:E41"/>
    <mergeCell ref="A8:A9"/>
    <mergeCell ref="C10:D10"/>
    <mergeCell ref="E15:E16"/>
    <mergeCell ref="F15:F16"/>
    <mergeCell ref="A11:F12"/>
    <mergeCell ref="B13:F13"/>
    <mergeCell ref="B14:F14"/>
    <mergeCell ref="A15:A16"/>
    <mergeCell ref="B15:B16"/>
    <mergeCell ref="C15:C16"/>
    <mergeCell ref="D15:D16"/>
    <mergeCell ref="A2:F2"/>
    <mergeCell ref="A4:B4"/>
    <mergeCell ref="C4:F4"/>
    <mergeCell ref="B6:F6"/>
    <mergeCell ref="B7:F7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topLeftCell="A12" workbookViewId="0">
      <selection activeCell="I16" sqref="I16:K33"/>
    </sheetView>
  </sheetViews>
  <sheetFormatPr defaultColWidth="12.6640625" defaultRowHeight="15" customHeight="1" x14ac:dyDescent="0.25"/>
  <cols>
    <col min="1" max="1" width="6.6640625" customWidth="1"/>
    <col min="2" max="2" width="13.77734375" customWidth="1"/>
    <col min="3" max="3" width="30.77734375" customWidth="1"/>
    <col min="4" max="4" width="9.21875" customWidth="1"/>
    <col min="5" max="5" width="9.44140625" customWidth="1"/>
    <col min="6" max="6" width="17.21875" customWidth="1"/>
    <col min="7" max="8" width="20.6640625" customWidth="1"/>
  </cols>
  <sheetData>
    <row r="1" spans="1:26" ht="15.75" customHeight="1" x14ac:dyDescent="0.25"/>
    <row r="2" spans="1:26" ht="15.75" customHeight="1" x14ac:dyDescent="0.25">
      <c r="A2" s="150"/>
      <c r="B2" s="151"/>
      <c r="C2" s="151"/>
      <c r="D2" s="151"/>
      <c r="E2" s="151"/>
      <c r="F2" s="151"/>
      <c r="G2" s="151"/>
      <c r="H2" s="151"/>
    </row>
    <row r="3" spans="1:26" ht="15.75" customHeight="1" x14ac:dyDescent="0.25">
      <c r="A3" s="38"/>
      <c r="B3" s="38"/>
      <c r="C3" s="38"/>
      <c r="D3" s="39"/>
      <c r="E3" s="38"/>
      <c r="F3" s="36"/>
      <c r="G3" s="37"/>
      <c r="H3" s="38"/>
      <c r="I3" s="38"/>
      <c r="J3" s="38"/>
      <c r="K3" s="38"/>
    </row>
    <row r="4" spans="1:26" ht="15.75" customHeight="1" x14ac:dyDescent="0.25">
      <c r="A4" s="152" t="s">
        <v>49</v>
      </c>
      <c r="B4" s="153"/>
      <c r="C4" s="153"/>
      <c r="D4" s="154">
        <f>'SIKLUS MENU'!G3</f>
        <v>46228</v>
      </c>
      <c r="E4" s="153"/>
      <c r="F4" s="153"/>
      <c r="G4" s="153"/>
      <c r="H4" s="153"/>
      <c r="I4" s="38"/>
      <c r="J4" s="38"/>
      <c r="K4" s="38"/>
    </row>
    <row r="5" spans="1:26" ht="15.75" customHeight="1" x14ac:dyDescent="0.3">
      <c r="A5" s="189" t="s">
        <v>50</v>
      </c>
      <c r="B5" s="153"/>
      <c r="C5" s="41">
        <f>D4-1</f>
        <v>46227</v>
      </c>
      <c r="D5" s="42"/>
      <c r="E5" s="43"/>
      <c r="F5" s="44"/>
      <c r="G5" s="45"/>
      <c r="H5" s="46"/>
      <c r="I5" s="38"/>
      <c r="J5" s="38"/>
      <c r="K5" s="38"/>
    </row>
    <row r="6" spans="1:26" ht="15.75" customHeight="1" x14ac:dyDescent="0.3">
      <c r="A6" s="189" t="s">
        <v>51</v>
      </c>
      <c r="B6" s="153"/>
      <c r="C6" s="155" t="s">
        <v>52</v>
      </c>
      <c r="D6" s="153"/>
      <c r="E6" s="153"/>
      <c r="F6" s="153"/>
      <c r="G6" s="153"/>
      <c r="H6" s="156"/>
      <c r="I6" s="38"/>
      <c r="J6" s="38"/>
      <c r="K6" s="38"/>
    </row>
    <row r="7" spans="1:26" ht="15.75" customHeight="1" x14ac:dyDescent="0.3">
      <c r="A7" s="189" t="s">
        <v>53</v>
      </c>
      <c r="B7" s="153"/>
      <c r="C7" s="157">
        <f>D4</f>
        <v>46228</v>
      </c>
      <c r="D7" s="153"/>
      <c r="E7" s="153"/>
      <c r="F7" s="153"/>
      <c r="G7" s="153"/>
      <c r="H7" s="156"/>
      <c r="I7" s="38"/>
      <c r="J7" s="38"/>
      <c r="K7" s="38"/>
    </row>
    <row r="8" spans="1:26" ht="15.75" customHeight="1" x14ac:dyDescent="0.3">
      <c r="A8" s="158" t="s">
        <v>54</v>
      </c>
      <c r="B8" s="167"/>
      <c r="C8" s="47" t="s">
        <v>55</v>
      </c>
      <c r="D8" s="84">
        <v>211</v>
      </c>
      <c r="E8" s="49">
        <v>8000</v>
      </c>
      <c r="F8" s="50">
        <f t="shared" ref="F8:F9" si="0">E8*D8</f>
        <v>1688000</v>
      </c>
      <c r="G8" s="51"/>
      <c r="H8" s="52"/>
      <c r="I8" s="53"/>
      <c r="J8" s="53"/>
      <c r="K8" s="53"/>
    </row>
    <row r="9" spans="1:26" ht="15.75" customHeight="1" x14ac:dyDescent="0.3">
      <c r="A9" s="159"/>
      <c r="B9" s="149"/>
      <c r="C9" s="54" t="s">
        <v>56</v>
      </c>
      <c r="D9" s="85">
        <v>82</v>
      </c>
      <c r="E9" s="55">
        <v>10000</v>
      </c>
      <c r="F9" s="50">
        <f t="shared" si="0"/>
        <v>820000</v>
      </c>
      <c r="G9" s="56"/>
      <c r="H9" s="57"/>
      <c r="I9" s="53"/>
      <c r="J9" s="53"/>
      <c r="K9" s="53"/>
    </row>
    <row r="10" spans="1:26" ht="15.75" customHeight="1" x14ac:dyDescent="0.35">
      <c r="A10" s="190"/>
      <c r="B10" s="156"/>
      <c r="C10" s="59" t="s">
        <v>57</v>
      </c>
      <c r="D10" s="160">
        <f>SUM(D8:D9)</f>
        <v>293</v>
      </c>
      <c r="E10" s="153"/>
      <c r="F10" s="60">
        <f>SUM(F8:F9)</f>
        <v>2508000</v>
      </c>
      <c r="G10" s="56"/>
      <c r="H10" s="57"/>
      <c r="I10" s="53"/>
      <c r="J10" s="53"/>
      <c r="K10" s="53"/>
    </row>
    <row r="11" spans="1:26" ht="15.75" customHeight="1" x14ac:dyDescent="0.25">
      <c r="A11" s="166" t="s">
        <v>58</v>
      </c>
      <c r="B11" s="167"/>
      <c r="C11" s="167"/>
      <c r="D11" s="167"/>
      <c r="E11" s="167"/>
      <c r="F11" s="167"/>
      <c r="G11" s="167"/>
      <c r="H11" s="168"/>
      <c r="I11" s="38"/>
      <c r="J11" s="38"/>
      <c r="K11" s="38"/>
    </row>
    <row r="12" spans="1:26" ht="15.75" customHeight="1" x14ac:dyDescent="0.25">
      <c r="A12" s="169"/>
      <c r="B12" s="170"/>
      <c r="C12" s="170"/>
      <c r="D12" s="170"/>
      <c r="E12" s="170"/>
      <c r="F12" s="170"/>
      <c r="G12" s="170"/>
      <c r="H12" s="171"/>
      <c r="I12" s="38"/>
      <c r="J12" s="38"/>
      <c r="K12" s="38"/>
    </row>
    <row r="13" spans="1:26" ht="15.75" customHeight="1" x14ac:dyDescent="0.3">
      <c r="A13" s="191" t="s">
        <v>59</v>
      </c>
      <c r="B13" s="151"/>
      <c r="C13" s="191"/>
      <c r="D13" s="151"/>
      <c r="E13" s="151"/>
      <c r="F13" s="151"/>
      <c r="G13" s="151"/>
      <c r="H13" s="173"/>
      <c r="I13" s="38"/>
      <c r="J13" s="38"/>
      <c r="K13" s="38"/>
    </row>
    <row r="14" spans="1:26" ht="15.75" customHeight="1" x14ac:dyDescent="0.25">
      <c r="A14" s="38"/>
      <c r="B14" s="38"/>
      <c r="C14" s="38"/>
      <c r="D14" s="39"/>
      <c r="E14" s="38"/>
      <c r="F14" s="36"/>
      <c r="G14" s="37"/>
      <c r="H14" s="86"/>
      <c r="I14" s="38"/>
      <c r="J14" s="38"/>
      <c r="K14" s="38"/>
    </row>
    <row r="15" spans="1:26" ht="15.75" customHeight="1" x14ac:dyDescent="0.25">
      <c r="A15" s="174" t="s">
        <v>60</v>
      </c>
      <c r="B15" s="192" t="s">
        <v>61</v>
      </c>
      <c r="C15" s="193"/>
      <c r="D15" s="178" t="s">
        <v>62</v>
      </c>
      <c r="E15" s="179" t="s">
        <v>63</v>
      </c>
      <c r="F15" s="161" t="s">
        <v>64</v>
      </c>
      <c r="G15" s="179" t="s">
        <v>65</v>
      </c>
      <c r="H15" s="179" t="s">
        <v>142</v>
      </c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spans="1:26" ht="15.75" customHeight="1" x14ac:dyDescent="0.25">
      <c r="A16" s="175"/>
      <c r="B16" s="194"/>
      <c r="C16" s="195"/>
      <c r="D16" s="185"/>
      <c r="E16" s="185"/>
      <c r="F16" s="185"/>
      <c r="G16" s="185"/>
      <c r="H16" s="185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spans="1:11" ht="15.75" customHeight="1" x14ac:dyDescent="0.3">
      <c r="A17" s="65">
        <v>1</v>
      </c>
      <c r="B17" s="196" t="s">
        <v>143</v>
      </c>
      <c r="C17" s="156"/>
      <c r="D17" s="77">
        <v>211</v>
      </c>
      <c r="E17" s="77" t="s">
        <v>69</v>
      </c>
      <c r="F17" s="126">
        <v>5700</v>
      </c>
      <c r="G17" s="130">
        <f t="shared" ref="G17:G19" si="1">F17*D17</f>
        <v>1202700</v>
      </c>
      <c r="H17" s="131"/>
      <c r="I17" s="88"/>
      <c r="J17" s="88"/>
      <c r="K17" s="88"/>
    </row>
    <row r="18" spans="1:11" ht="15.75" customHeight="1" x14ac:dyDescent="0.3">
      <c r="A18" s="65">
        <v>2</v>
      </c>
      <c r="B18" s="196" t="s">
        <v>144</v>
      </c>
      <c r="C18" s="156"/>
      <c r="D18" s="77">
        <v>82</v>
      </c>
      <c r="E18" s="77" t="s">
        <v>69</v>
      </c>
      <c r="F18" s="126">
        <v>3725</v>
      </c>
      <c r="G18" s="130">
        <f t="shared" si="1"/>
        <v>305450</v>
      </c>
      <c r="H18" s="132"/>
      <c r="I18" s="88"/>
      <c r="J18" s="88"/>
      <c r="K18" s="88"/>
    </row>
    <row r="19" spans="1:11" ht="15.75" customHeight="1" x14ac:dyDescent="0.3">
      <c r="A19" s="65">
        <v>3</v>
      </c>
      <c r="B19" s="196" t="s">
        <v>145</v>
      </c>
      <c r="C19" s="156"/>
      <c r="D19" s="77">
        <v>295</v>
      </c>
      <c r="E19" s="77" t="s">
        <v>69</v>
      </c>
      <c r="F19" s="126">
        <v>4300</v>
      </c>
      <c r="G19" s="130">
        <f t="shared" si="1"/>
        <v>1268500</v>
      </c>
      <c r="H19" s="131"/>
      <c r="I19" s="88"/>
      <c r="J19" s="88"/>
      <c r="K19" s="88"/>
    </row>
    <row r="20" spans="1:11" ht="15.75" customHeight="1" x14ac:dyDescent="0.3">
      <c r="A20" s="65">
        <v>4</v>
      </c>
      <c r="B20" s="197"/>
      <c r="C20" s="156"/>
      <c r="D20" s="132"/>
      <c r="E20" s="132"/>
      <c r="F20" s="123"/>
      <c r="G20" s="130"/>
      <c r="H20" s="131"/>
      <c r="I20" s="88"/>
      <c r="J20" s="88"/>
      <c r="K20" s="88"/>
    </row>
    <row r="21" spans="1:11" ht="15.75" customHeight="1" x14ac:dyDescent="0.3">
      <c r="A21" s="65">
        <v>5</v>
      </c>
      <c r="B21" s="197"/>
      <c r="C21" s="156"/>
      <c r="D21" s="132"/>
      <c r="E21" s="132"/>
      <c r="F21" s="123"/>
      <c r="G21" s="130"/>
      <c r="H21" s="131"/>
      <c r="I21" s="88"/>
      <c r="J21" s="88"/>
      <c r="K21" s="88"/>
    </row>
    <row r="22" spans="1:11" ht="15.75" customHeight="1" x14ac:dyDescent="0.3">
      <c r="A22" s="65">
        <v>6</v>
      </c>
      <c r="B22" s="197"/>
      <c r="C22" s="156"/>
      <c r="D22" s="132"/>
      <c r="E22" s="132"/>
      <c r="F22" s="123"/>
      <c r="G22" s="130"/>
      <c r="H22" s="131"/>
      <c r="I22" s="88"/>
      <c r="J22" s="88"/>
      <c r="K22" s="88"/>
    </row>
    <row r="23" spans="1:11" ht="15.75" customHeight="1" x14ac:dyDescent="0.3">
      <c r="A23" s="65">
        <v>7</v>
      </c>
      <c r="B23" s="197"/>
      <c r="C23" s="156"/>
      <c r="D23" s="132"/>
      <c r="E23" s="132"/>
      <c r="F23" s="123"/>
      <c r="G23" s="130"/>
      <c r="H23" s="132"/>
      <c r="I23" s="88"/>
      <c r="J23" s="88"/>
      <c r="K23" s="88"/>
    </row>
    <row r="24" spans="1:11" ht="15.75" customHeight="1" x14ac:dyDescent="0.3">
      <c r="A24" s="65">
        <v>8</v>
      </c>
      <c r="B24" s="197"/>
      <c r="C24" s="156"/>
      <c r="D24" s="132"/>
      <c r="E24" s="132"/>
      <c r="F24" s="123"/>
      <c r="G24" s="130"/>
      <c r="H24" s="131"/>
      <c r="I24" s="88"/>
      <c r="J24" s="88"/>
      <c r="K24" s="88"/>
    </row>
    <row r="25" spans="1:11" ht="15.75" customHeight="1" x14ac:dyDescent="0.3">
      <c r="A25" s="65">
        <v>9</v>
      </c>
      <c r="B25" s="197"/>
      <c r="C25" s="156"/>
      <c r="D25" s="132"/>
      <c r="E25" s="132"/>
      <c r="F25" s="123"/>
      <c r="G25" s="130"/>
      <c r="H25" s="131"/>
      <c r="I25" s="88"/>
      <c r="J25" s="88"/>
      <c r="K25" s="88"/>
    </row>
    <row r="26" spans="1:11" ht="15.75" customHeight="1" x14ac:dyDescent="0.3">
      <c r="A26" s="65">
        <v>10</v>
      </c>
      <c r="B26" s="197"/>
      <c r="C26" s="156"/>
      <c r="D26" s="132"/>
      <c r="E26" s="132"/>
      <c r="F26" s="123"/>
      <c r="G26" s="130"/>
      <c r="H26" s="131"/>
      <c r="I26" s="88"/>
      <c r="J26" s="88"/>
      <c r="K26" s="88"/>
    </row>
    <row r="27" spans="1:11" ht="15.75" customHeight="1" x14ac:dyDescent="0.3">
      <c r="A27" s="65">
        <v>11</v>
      </c>
      <c r="B27" s="197"/>
      <c r="C27" s="156"/>
      <c r="D27" s="132"/>
      <c r="E27" s="132"/>
      <c r="F27" s="123"/>
      <c r="G27" s="130"/>
      <c r="H27" s="131"/>
      <c r="I27" s="88"/>
      <c r="J27" s="88"/>
      <c r="K27" s="88"/>
    </row>
    <row r="28" spans="1:11" ht="15.75" customHeight="1" x14ac:dyDescent="0.3">
      <c r="A28" s="65">
        <v>12</v>
      </c>
      <c r="B28" s="197"/>
      <c r="C28" s="156"/>
      <c r="D28" s="132"/>
      <c r="E28" s="132"/>
      <c r="F28" s="123"/>
      <c r="G28" s="130"/>
      <c r="H28" s="132"/>
      <c r="I28" s="88"/>
      <c r="J28" s="88"/>
      <c r="K28" s="88"/>
    </row>
    <row r="29" spans="1:11" ht="15.75" customHeight="1" x14ac:dyDescent="0.3">
      <c r="A29" s="65">
        <v>13</v>
      </c>
      <c r="B29" s="197"/>
      <c r="C29" s="156"/>
      <c r="D29" s="132"/>
      <c r="E29" s="132"/>
      <c r="F29" s="123"/>
      <c r="G29" s="130"/>
      <c r="H29" s="131"/>
      <c r="I29" s="88"/>
      <c r="J29" s="88"/>
      <c r="K29" s="88"/>
    </row>
    <row r="30" spans="1:11" ht="15.75" customHeight="1" x14ac:dyDescent="0.3">
      <c r="A30" s="65">
        <v>14</v>
      </c>
      <c r="B30" s="197"/>
      <c r="C30" s="156"/>
      <c r="D30" s="132"/>
      <c r="E30" s="132"/>
      <c r="F30" s="123"/>
      <c r="G30" s="130"/>
      <c r="H30" s="131"/>
      <c r="I30" s="88"/>
      <c r="J30" s="88"/>
      <c r="K30" s="88"/>
    </row>
    <row r="31" spans="1:11" ht="15.75" customHeight="1" x14ac:dyDescent="0.3">
      <c r="A31" s="65">
        <v>15</v>
      </c>
      <c r="B31" s="197"/>
      <c r="C31" s="156"/>
      <c r="D31" s="132"/>
      <c r="E31" s="132"/>
      <c r="F31" s="123"/>
      <c r="G31" s="130"/>
      <c r="H31" s="131"/>
      <c r="I31" s="88"/>
      <c r="J31" s="88"/>
      <c r="K31" s="88"/>
    </row>
    <row r="32" spans="1:11" ht="15.75" customHeight="1" x14ac:dyDescent="0.3">
      <c r="A32" s="65">
        <v>16</v>
      </c>
      <c r="B32" s="197"/>
      <c r="C32" s="156"/>
      <c r="D32" s="132"/>
      <c r="E32" s="132"/>
      <c r="F32" s="123"/>
      <c r="G32" s="130"/>
      <c r="H32" s="131"/>
      <c r="I32" s="88"/>
      <c r="J32" s="88"/>
      <c r="K32" s="88"/>
    </row>
    <row r="33" spans="1:26" ht="15.75" customHeight="1" x14ac:dyDescent="0.3">
      <c r="A33" s="163" t="s">
        <v>93</v>
      </c>
      <c r="B33" s="164"/>
      <c r="C33" s="164"/>
      <c r="D33" s="164"/>
      <c r="E33" s="164"/>
      <c r="F33" s="165"/>
      <c r="G33" s="83">
        <f>SUM(G17:G32)</f>
        <v>2776650</v>
      </c>
      <c r="H33" s="133"/>
      <c r="I33" s="38"/>
      <c r="J33" s="88"/>
      <c r="K33" s="8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5.75" customHeight="1" x14ac:dyDescent="0.25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 x14ac:dyDescent="0.2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 x14ac:dyDescent="0.25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 x14ac:dyDescent="0.25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 x14ac:dyDescent="0.25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 x14ac:dyDescent="0.25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 x14ac:dyDescent="0.25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 x14ac:dyDescent="0.25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 x14ac:dyDescent="0.25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 x14ac:dyDescent="0.25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 x14ac:dyDescent="0.2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 x14ac:dyDescent="0.25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 x14ac:dyDescent="0.25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 x14ac:dyDescent="0.25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 x14ac:dyDescent="0.25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 x14ac:dyDescent="0.25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 x14ac:dyDescent="0.25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 x14ac:dyDescent="0.25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 x14ac:dyDescent="0.25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 x14ac:dyDescent="0.25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 x14ac:dyDescent="0.2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 x14ac:dyDescent="0.25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 x14ac:dyDescent="0.25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 x14ac:dyDescent="0.25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 x14ac:dyDescent="0.25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 x14ac:dyDescent="0.25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 x14ac:dyDescent="0.25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 x14ac:dyDescent="0.25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 x14ac:dyDescent="0.25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 x14ac:dyDescent="0.25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 x14ac:dyDescent="0.2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 x14ac:dyDescent="0.25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 x14ac:dyDescent="0.25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 x14ac:dyDescent="0.25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 x14ac:dyDescent="0.25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 x14ac:dyDescent="0.25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 x14ac:dyDescent="0.25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 x14ac:dyDescent="0.25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 x14ac:dyDescent="0.25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 x14ac:dyDescent="0.25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 x14ac:dyDescent="0.2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 x14ac:dyDescent="0.25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 x14ac:dyDescent="0.25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 x14ac:dyDescent="0.25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 x14ac:dyDescent="0.25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 x14ac:dyDescent="0.25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 x14ac:dyDescent="0.25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 x14ac:dyDescent="0.25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 x14ac:dyDescent="0.25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 x14ac:dyDescent="0.25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 x14ac:dyDescent="0.2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 x14ac:dyDescent="0.25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 x14ac:dyDescent="0.25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 x14ac:dyDescent="0.25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 x14ac:dyDescent="0.25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 x14ac:dyDescent="0.25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 x14ac:dyDescent="0.25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 x14ac:dyDescent="0.25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 x14ac:dyDescent="0.25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 x14ac:dyDescent="0.25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 x14ac:dyDescent="0.2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 x14ac:dyDescent="0.25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 x14ac:dyDescent="0.25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 x14ac:dyDescent="0.25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 x14ac:dyDescent="0.25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 x14ac:dyDescent="0.25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 x14ac:dyDescent="0.25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 x14ac:dyDescent="0.25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 x14ac:dyDescent="0.25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 x14ac:dyDescent="0.25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 x14ac:dyDescent="0.2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 x14ac:dyDescent="0.25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 x14ac:dyDescent="0.25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 x14ac:dyDescent="0.25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 x14ac:dyDescent="0.25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 x14ac:dyDescent="0.25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 x14ac:dyDescent="0.25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 x14ac:dyDescent="0.25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 x14ac:dyDescent="0.25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 x14ac:dyDescent="0.25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 x14ac:dyDescent="0.2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 x14ac:dyDescent="0.25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 x14ac:dyDescent="0.25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 x14ac:dyDescent="0.25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 x14ac:dyDescent="0.25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 x14ac:dyDescent="0.25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 x14ac:dyDescent="0.25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 x14ac:dyDescent="0.25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 x14ac:dyDescent="0.25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 x14ac:dyDescent="0.25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 x14ac:dyDescent="0.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 x14ac:dyDescent="0.25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 x14ac:dyDescent="0.25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 x14ac:dyDescent="0.25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 x14ac:dyDescent="0.25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 x14ac:dyDescent="0.25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 x14ac:dyDescent="0.25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 x14ac:dyDescent="0.25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 x14ac:dyDescent="0.25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 x14ac:dyDescent="0.25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 x14ac:dyDescent="0.2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 x14ac:dyDescent="0.25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 x14ac:dyDescent="0.25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 x14ac:dyDescent="0.25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 x14ac:dyDescent="0.25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 x14ac:dyDescent="0.25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 x14ac:dyDescent="0.25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 x14ac:dyDescent="0.25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 x14ac:dyDescent="0.25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 x14ac:dyDescent="0.25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 x14ac:dyDescent="0.2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 x14ac:dyDescent="0.25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 x14ac:dyDescent="0.25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 x14ac:dyDescent="0.25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 x14ac:dyDescent="0.25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 x14ac:dyDescent="0.25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 x14ac:dyDescent="0.25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 x14ac:dyDescent="0.25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 x14ac:dyDescent="0.25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 x14ac:dyDescent="0.25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 x14ac:dyDescent="0.2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 x14ac:dyDescent="0.25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 x14ac:dyDescent="0.25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 x14ac:dyDescent="0.25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 x14ac:dyDescent="0.25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 x14ac:dyDescent="0.25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 x14ac:dyDescent="0.25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 x14ac:dyDescent="0.25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 x14ac:dyDescent="0.25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 x14ac:dyDescent="0.25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 x14ac:dyDescent="0.2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 x14ac:dyDescent="0.25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 x14ac:dyDescent="0.25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 x14ac:dyDescent="0.25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 x14ac:dyDescent="0.25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 x14ac:dyDescent="0.25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 x14ac:dyDescent="0.25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 x14ac:dyDescent="0.25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 x14ac:dyDescent="0.25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 x14ac:dyDescent="0.25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 x14ac:dyDescent="0.2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 x14ac:dyDescent="0.25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 x14ac:dyDescent="0.25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 x14ac:dyDescent="0.25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 x14ac:dyDescent="0.25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 x14ac:dyDescent="0.25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 x14ac:dyDescent="0.25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 x14ac:dyDescent="0.25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 x14ac:dyDescent="0.25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 x14ac:dyDescent="0.25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 x14ac:dyDescent="0.2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 x14ac:dyDescent="0.25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 x14ac:dyDescent="0.25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 x14ac:dyDescent="0.25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 x14ac:dyDescent="0.25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 x14ac:dyDescent="0.25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 x14ac:dyDescent="0.25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 x14ac:dyDescent="0.25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 x14ac:dyDescent="0.25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 x14ac:dyDescent="0.25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 x14ac:dyDescent="0.2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 x14ac:dyDescent="0.25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 x14ac:dyDescent="0.25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 x14ac:dyDescent="0.25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 x14ac:dyDescent="0.25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 x14ac:dyDescent="0.25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 x14ac:dyDescent="0.25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 x14ac:dyDescent="0.25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 x14ac:dyDescent="0.25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 x14ac:dyDescent="0.25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 x14ac:dyDescent="0.2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 x14ac:dyDescent="0.25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 x14ac:dyDescent="0.25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 x14ac:dyDescent="0.25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 x14ac:dyDescent="0.25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 x14ac:dyDescent="0.25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 x14ac:dyDescent="0.25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 x14ac:dyDescent="0.25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 x14ac:dyDescent="0.25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 x14ac:dyDescent="0.25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 x14ac:dyDescent="0.2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 x14ac:dyDescent="0.25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 x14ac:dyDescent="0.25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 x14ac:dyDescent="0.25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 x14ac:dyDescent="0.25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 x14ac:dyDescent="0.25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 x14ac:dyDescent="0.25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 x14ac:dyDescent="0.25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 x14ac:dyDescent="0.25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 x14ac:dyDescent="0.25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 x14ac:dyDescent="0.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 x14ac:dyDescent="0.25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 x14ac:dyDescent="0.25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 x14ac:dyDescent="0.25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 x14ac:dyDescent="0.25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 x14ac:dyDescent="0.25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 x14ac:dyDescent="0.25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 x14ac:dyDescent="0.25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 x14ac:dyDescent="0.25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8">
    <mergeCell ref="B22:C22"/>
    <mergeCell ref="B23:C23"/>
    <mergeCell ref="B31:C31"/>
    <mergeCell ref="B32:C32"/>
    <mergeCell ref="A33:F33"/>
    <mergeCell ref="B24:C24"/>
    <mergeCell ref="B25:C25"/>
    <mergeCell ref="B26:C26"/>
    <mergeCell ref="B27:C27"/>
    <mergeCell ref="B28:C28"/>
    <mergeCell ref="B29:C29"/>
    <mergeCell ref="B30:C30"/>
    <mergeCell ref="B17:C17"/>
    <mergeCell ref="B18:C18"/>
    <mergeCell ref="B19:C19"/>
    <mergeCell ref="B20:C20"/>
    <mergeCell ref="B21:C21"/>
    <mergeCell ref="A11:H12"/>
    <mergeCell ref="A13:B13"/>
    <mergeCell ref="C13:H13"/>
    <mergeCell ref="A15:A16"/>
    <mergeCell ref="B15:C16"/>
    <mergeCell ref="D15:D16"/>
    <mergeCell ref="E15:E16"/>
    <mergeCell ref="F15:F16"/>
    <mergeCell ref="G15:G16"/>
    <mergeCell ref="H15:H16"/>
    <mergeCell ref="C7:H7"/>
    <mergeCell ref="A7:B7"/>
    <mergeCell ref="A8:B9"/>
    <mergeCell ref="A10:B10"/>
    <mergeCell ref="D10:E10"/>
    <mergeCell ref="A2:H2"/>
    <mergeCell ref="A4:C4"/>
    <mergeCell ref="D4:H4"/>
    <mergeCell ref="A5:B5"/>
    <mergeCell ref="A6:B6"/>
    <mergeCell ref="C6:H6"/>
  </mergeCell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tabSelected="1" workbookViewId="0">
      <selection activeCell="F17" sqref="F17"/>
    </sheetView>
  </sheetViews>
  <sheetFormatPr defaultColWidth="12.6640625" defaultRowHeight="15" customHeight="1" x14ac:dyDescent="0.25"/>
  <cols>
    <col min="2" max="2" width="22.44140625" customWidth="1"/>
    <col min="3" max="3" width="17.77734375" customWidth="1"/>
    <col min="4" max="4" width="26.21875" customWidth="1"/>
    <col min="5" max="5" width="18.21875" customWidth="1"/>
  </cols>
  <sheetData>
    <row r="1" spans="1:26" ht="15.75" customHeight="1" x14ac:dyDescent="0.25">
      <c r="C1" s="134"/>
    </row>
    <row r="2" spans="1:26" ht="15.75" customHeight="1" x14ac:dyDescent="0.25">
      <c r="B2" s="198" t="s">
        <v>146</v>
      </c>
      <c r="C2" s="156"/>
      <c r="E2" s="199"/>
      <c r="F2" s="200"/>
    </row>
    <row r="3" spans="1:26" ht="15.75" customHeight="1" x14ac:dyDescent="0.3">
      <c r="B3" s="135" t="s">
        <v>147</v>
      </c>
      <c r="C3" s="136">
        <f>SENIN!F45</f>
        <v>8910750</v>
      </c>
      <c r="E3" s="201"/>
      <c r="F3" s="202"/>
      <c r="H3" s="137"/>
    </row>
    <row r="4" spans="1:26" ht="15.75" customHeight="1" x14ac:dyDescent="0.3">
      <c r="B4" s="138" t="s">
        <v>148</v>
      </c>
      <c r="C4" s="139">
        <f>SELASA!F43</f>
        <v>9920750</v>
      </c>
      <c r="E4" s="201"/>
      <c r="F4" s="202"/>
      <c r="H4" s="137"/>
    </row>
    <row r="5" spans="1:26" ht="15.75" customHeight="1" x14ac:dyDescent="0.3">
      <c r="B5" s="138" t="s">
        <v>149</v>
      </c>
      <c r="C5" s="139">
        <f>RABU!F47</f>
        <v>10001500</v>
      </c>
      <c r="E5" s="201"/>
      <c r="F5" s="202"/>
      <c r="H5" s="137"/>
    </row>
    <row r="6" spans="1:26" ht="15.75" customHeight="1" x14ac:dyDescent="0.3">
      <c r="B6" s="138" t="s">
        <v>150</v>
      </c>
      <c r="C6" s="139">
        <f>KAMIS!F40</f>
        <v>10766250</v>
      </c>
      <c r="E6" s="201"/>
      <c r="F6" s="202"/>
      <c r="H6" s="137"/>
    </row>
    <row r="7" spans="1:26" ht="15.75" customHeight="1" x14ac:dyDescent="0.3">
      <c r="B7" s="138" t="s">
        <v>151</v>
      </c>
      <c r="C7" s="139">
        <f>JUMAT!F41</f>
        <v>11116825</v>
      </c>
      <c r="E7" s="201"/>
      <c r="F7" s="202"/>
      <c r="H7" s="137"/>
    </row>
    <row r="8" spans="1:26" ht="15.75" customHeight="1" x14ac:dyDescent="0.3">
      <c r="B8" s="138" t="s">
        <v>152</v>
      </c>
      <c r="C8" s="139">
        <f>SABTU!G33</f>
        <v>2776650</v>
      </c>
      <c r="E8" s="201"/>
      <c r="F8" s="202"/>
      <c r="H8" s="137"/>
    </row>
    <row r="9" spans="1:26" ht="15.75" customHeight="1" x14ac:dyDescent="0.3">
      <c r="B9" s="140" t="s">
        <v>153</v>
      </c>
      <c r="C9" s="141">
        <f>SUM(C3:C8)</f>
        <v>53492725</v>
      </c>
      <c r="E9" s="203"/>
      <c r="F9" s="204"/>
      <c r="H9" s="142"/>
    </row>
    <row r="10" spans="1:26" ht="15.75" customHeight="1" x14ac:dyDescent="0.3">
      <c r="A10" s="5"/>
      <c r="B10" s="138" t="s">
        <v>154</v>
      </c>
      <c r="C10" s="139">
        <f>SENIN!E10+SELASA!E10+RABU!E10+KAMIS!E10+JUMAT!E10+SABTU!F10</f>
        <v>53528000</v>
      </c>
      <c r="D10" s="143"/>
      <c r="E10" s="201"/>
      <c r="F10" s="202"/>
      <c r="G10" s="5"/>
      <c r="H10" s="137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3">
      <c r="B11" s="144" t="s">
        <v>155</v>
      </c>
      <c r="C11" s="145">
        <f>C10-C9</f>
        <v>35275</v>
      </c>
      <c r="E11" s="205"/>
      <c r="F11" s="206"/>
      <c r="H11" s="146"/>
    </row>
    <row r="12" spans="1:26" ht="15.75" customHeight="1" x14ac:dyDescent="0.3">
      <c r="C12" s="134"/>
      <c r="E12" s="207"/>
      <c r="F12" s="208"/>
      <c r="H12" s="147"/>
    </row>
    <row r="13" spans="1:26" ht="15.75" customHeight="1" x14ac:dyDescent="0.3">
      <c r="C13" s="134"/>
      <c r="H13" s="137"/>
    </row>
    <row r="14" spans="1:26" ht="15.75" customHeight="1" x14ac:dyDescent="0.25">
      <c r="C14" s="134"/>
    </row>
    <row r="15" spans="1:26" ht="15.75" customHeight="1" x14ac:dyDescent="0.25">
      <c r="C15" s="134"/>
    </row>
    <row r="16" spans="1:26" ht="15.75" customHeight="1" x14ac:dyDescent="0.25">
      <c r="C16" s="134"/>
    </row>
    <row r="17" spans="3:3" ht="15.75" customHeight="1" x14ac:dyDescent="0.25">
      <c r="C17" s="134"/>
    </row>
    <row r="18" spans="3:3" ht="15.75" customHeight="1" x14ac:dyDescent="0.25">
      <c r="C18" s="134"/>
    </row>
    <row r="19" spans="3:3" ht="15.75" customHeight="1" x14ac:dyDescent="0.25">
      <c r="C19" s="134"/>
    </row>
    <row r="20" spans="3:3" ht="15.75" customHeight="1" x14ac:dyDescent="0.25">
      <c r="C20" s="134"/>
    </row>
    <row r="21" spans="3:3" ht="15.75" customHeight="1" x14ac:dyDescent="0.25">
      <c r="C21" s="134"/>
    </row>
    <row r="22" spans="3:3" ht="15.75" customHeight="1" x14ac:dyDescent="0.25">
      <c r="C22" s="134"/>
    </row>
    <row r="23" spans="3:3" ht="15.75" customHeight="1" x14ac:dyDescent="0.25">
      <c r="C23" s="134"/>
    </row>
    <row r="24" spans="3:3" ht="15.75" customHeight="1" x14ac:dyDescent="0.25">
      <c r="C24" s="134"/>
    </row>
    <row r="25" spans="3:3" ht="15.75" customHeight="1" x14ac:dyDescent="0.25">
      <c r="C25" s="134"/>
    </row>
    <row r="26" spans="3:3" ht="15.75" customHeight="1" x14ac:dyDescent="0.25">
      <c r="C26" s="134"/>
    </row>
    <row r="27" spans="3:3" ht="15.75" customHeight="1" x14ac:dyDescent="0.25">
      <c r="C27" s="134"/>
    </row>
    <row r="28" spans="3:3" ht="15.75" customHeight="1" x14ac:dyDescent="0.25">
      <c r="C28" s="134"/>
    </row>
    <row r="29" spans="3:3" ht="15.75" customHeight="1" x14ac:dyDescent="0.25">
      <c r="C29" s="134"/>
    </row>
    <row r="30" spans="3:3" ht="15.75" customHeight="1" x14ac:dyDescent="0.25">
      <c r="C30" s="134"/>
    </row>
    <row r="31" spans="3:3" ht="15.75" customHeight="1" x14ac:dyDescent="0.25">
      <c r="C31" s="134"/>
    </row>
    <row r="32" spans="3:3" ht="15.75" customHeight="1" x14ac:dyDescent="0.25">
      <c r="C32" s="134"/>
    </row>
    <row r="33" spans="3:3" ht="15.75" customHeight="1" x14ac:dyDescent="0.25">
      <c r="C33" s="134"/>
    </row>
    <row r="34" spans="3:3" ht="15.75" customHeight="1" x14ac:dyDescent="0.25">
      <c r="C34" s="134"/>
    </row>
    <row r="35" spans="3:3" ht="15.75" customHeight="1" x14ac:dyDescent="0.25">
      <c r="C35" s="134"/>
    </row>
    <row r="36" spans="3:3" ht="15.75" customHeight="1" x14ac:dyDescent="0.25">
      <c r="C36" s="134"/>
    </row>
    <row r="37" spans="3:3" ht="15.75" customHeight="1" x14ac:dyDescent="0.25">
      <c r="C37" s="134"/>
    </row>
    <row r="38" spans="3:3" ht="15.75" customHeight="1" x14ac:dyDescent="0.25">
      <c r="C38" s="134"/>
    </row>
    <row r="39" spans="3:3" ht="15.75" customHeight="1" x14ac:dyDescent="0.25">
      <c r="C39" s="134"/>
    </row>
    <row r="40" spans="3:3" ht="15.75" customHeight="1" x14ac:dyDescent="0.25">
      <c r="C40" s="134"/>
    </row>
    <row r="41" spans="3:3" ht="15.75" customHeight="1" x14ac:dyDescent="0.25">
      <c r="C41" s="134"/>
    </row>
    <row r="42" spans="3:3" ht="15.75" customHeight="1" x14ac:dyDescent="0.25">
      <c r="C42" s="134"/>
    </row>
    <row r="43" spans="3:3" ht="15.75" customHeight="1" x14ac:dyDescent="0.25">
      <c r="C43" s="134"/>
    </row>
    <row r="44" spans="3:3" ht="15.75" customHeight="1" x14ac:dyDescent="0.25">
      <c r="C44" s="134"/>
    </row>
    <row r="45" spans="3:3" ht="15.75" customHeight="1" x14ac:dyDescent="0.25">
      <c r="C45" s="134"/>
    </row>
    <row r="46" spans="3:3" ht="15.75" customHeight="1" x14ac:dyDescent="0.25">
      <c r="C46" s="134"/>
    </row>
    <row r="47" spans="3:3" ht="15.75" customHeight="1" x14ac:dyDescent="0.25">
      <c r="C47" s="134"/>
    </row>
    <row r="48" spans="3:3" ht="15.75" customHeight="1" x14ac:dyDescent="0.25">
      <c r="C48" s="134"/>
    </row>
    <row r="49" spans="3:3" ht="15.75" customHeight="1" x14ac:dyDescent="0.25">
      <c r="C49" s="134"/>
    </row>
    <row r="50" spans="3:3" ht="15.75" customHeight="1" x14ac:dyDescent="0.25">
      <c r="C50" s="134"/>
    </row>
    <row r="51" spans="3:3" ht="15.75" customHeight="1" x14ac:dyDescent="0.25">
      <c r="C51" s="134"/>
    </row>
    <row r="52" spans="3:3" ht="15.75" customHeight="1" x14ac:dyDescent="0.25">
      <c r="C52" s="134"/>
    </row>
    <row r="53" spans="3:3" ht="15.75" customHeight="1" x14ac:dyDescent="0.25">
      <c r="C53" s="134"/>
    </row>
    <row r="54" spans="3:3" ht="15.75" customHeight="1" x14ac:dyDescent="0.25">
      <c r="C54" s="134"/>
    </row>
    <row r="55" spans="3:3" ht="15.75" customHeight="1" x14ac:dyDescent="0.25">
      <c r="C55" s="134"/>
    </row>
    <row r="56" spans="3:3" ht="15.75" customHeight="1" x14ac:dyDescent="0.25">
      <c r="C56" s="134"/>
    </row>
    <row r="57" spans="3:3" ht="15.75" customHeight="1" x14ac:dyDescent="0.25">
      <c r="C57" s="134"/>
    </row>
    <row r="58" spans="3:3" ht="15.75" customHeight="1" x14ac:dyDescent="0.25">
      <c r="C58" s="134"/>
    </row>
    <row r="59" spans="3:3" ht="15.75" customHeight="1" x14ac:dyDescent="0.25">
      <c r="C59" s="134"/>
    </row>
    <row r="60" spans="3:3" ht="15.75" customHeight="1" x14ac:dyDescent="0.25">
      <c r="C60" s="134"/>
    </row>
    <row r="61" spans="3:3" ht="15.75" customHeight="1" x14ac:dyDescent="0.25">
      <c r="C61" s="134"/>
    </row>
    <row r="62" spans="3:3" ht="15.75" customHeight="1" x14ac:dyDescent="0.25">
      <c r="C62" s="134"/>
    </row>
    <row r="63" spans="3:3" ht="15.75" customHeight="1" x14ac:dyDescent="0.25">
      <c r="C63" s="134"/>
    </row>
    <row r="64" spans="3:3" ht="15.75" customHeight="1" x14ac:dyDescent="0.25">
      <c r="C64" s="134"/>
    </row>
    <row r="65" spans="3:3" ht="15.75" customHeight="1" x14ac:dyDescent="0.25">
      <c r="C65" s="134"/>
    </row>
    <row r="66" spans="3:3" ht="15.75" customHeight="1" x14ac:dyDescent="0.25">
      <c r="C66" s="134"/>
    </row>
    <row r="67" spans="3:3" ht="15.75" customHeight="1" x14ac:dyDescent="0.25">
      <c r="C67" s="134"/>
    </row>
    <row r="68" spans="3:3" ht="15.75" customHeight="1" x14ac:dyDescent="0.25">
      <c r="C68" s="134"/>
    </row>
    <row r="69" spans="3:3" ht="15.75" customHeight="1" x14ac:dyDescent="0.25">
      <c r="C69" s="134"/>
    </row>
    <row r="70" spans="3:3" ht="15.75" customHeight="1" x14ac:dyDescent="0.25">
      <c r="C70" s="134"/>
    </row>
    <row r="71" spans="3:3" ht="15.75" customHeight="1" x14ac:dyDescent="0.25">
      <c r="C71" s="134"/>
    </row>
    <row r="72" spans="3:3" ht="15.75" customHeight="1" x14ac:dyDescent="0.25">
      <c r="C72" s="134"/>
    </row>
    <row r="73" spans="3:3" ht="15.75" customHeight="1" x14ac:dyDescent="0.25">
      <c r="C73" s="134"/>
    </row>
    <row r="74" spans="3:3" ht="15.75" customHeight="1" x14ac:dyDescent="0.25">
      <c r="C74" s="134"/>
    </row>
    <row r="75" spans="3:3" ht="15.75" customHeight="1" x14ac:dyDescent="0.25">
      <c r="C75" s="134"/>
    </row>
    <row r="76" spans="3:3" ht="15.75" customHeight="1" x14ac:dyDescent="0.25">
      <c r="C76" s="134"/>
    </row>
    <row r="77" spans="3:3" ht="15.75" customHeight="1" x14ac:dyDescent="0.25">
      <c r="C77" s="134"/>
    </row>
    <row r="78" spans="3:3" ht="15.75" customHeight="1" x14ac:dyDescent="0.25">
      <c r="C78" s="134"/>
    </row>
    <row r="79" spans="3:3" ht="15.75" customHeight="1" x14ac:dyDescent="0.25">
      <c r="C79" s="134"/>
    </row>
    <row r="80" spans="3:3" ht="15.75" customHeight="1" x14ac:dyDescent="0.25">
      <c r="C80" s="134"/>
    </row>
    <row r="81" spans="3:3" ht="15.75" customHeight="1" x14ac:dyDescent="0.25">
      <c r="C81" s="134"/>
    </row>
    <row r="82" spans="3:3" ht="15.75" customHeight="1" x14ac:dyDescent="0.25">
      <c r="C82" s="134"/>
    </row>
    <row r="83" spans="3:3" ht="15.75" customHeight="1" x14ac:dyDescent="0.25">
      <c r="C83" s="134"/>
    </row>
    <row r="84" spans="3:3" ht="15.75" customHeight="1" x14ac:dyDescent="0.25">
      <c r="C84" s="134"/>
    </row>
    <row r="85" spans="3:3" ht="15.75" customHeight="1" x14ac:dyDescent="0.25">
      <c r="C85" s="134"/>
    </row>
    <row r="86" spans="3:3" ht="15.75" customHeight="1" x14ac:dyDescent="0.25">
      <c r="C86" s="134"/>
    </row>
    <row r="87" spans="3:3" ht="15.75" customHeight="1" x14ac:dyDescent="0.25">
      <c r="C87" s="134"/>
    </row>
    <row r="88" spans="3:3" ht="15.75" customHeight="1" x14ac:dyDescent="0.25">
      <c r="C88" s="134"/>
    </row>
    <row r="89" spans="3:3" ht="15.75" customHeight="1" x14ac:dyDescent="0.25">
      <c r="C89" s="134"/>
    </row>
    <row r="90" spans="3:3" ht="15.75" customHeight="1" x14ac:dyDescent="0.25">
      <c r="C90" s="134"/>
    </row>
    <row r="91" spans="3:3" ht="15.75" customHeight="1" x14ac:dyDescent="0.25">
      <c r="C91" s="134"/>
    </row>
    <row r="92" spans="3:3" ht="15.75" customHeight="1" x14ac:dyDescent="0.25">
      <c r="C92" s="134"/>
    </row>
    <row r="93" spans="3:3" ht="15.75" customHeight="1" x14ac:dyDescent="0.25">
      <c r="C93" s="134"/>
    </row>
    <row r="94" spans="3:3" ht="15.75" customHeight="1" x14ac:dyDescent="0.25">
      <c r="C94" s="134"/>
    </row>
    <row r="95" spans="3:3" ht="15.75" customHeight="1" x14ac:dyDescent="0.25">
      <c r="C95" s="134"/>
    </row>
    <row r="96" spans="3:3" ht="15.75" customHeight="1" x14ac:dyDescent="0.25">
      <c r="C96" s="134"/>
    </row>
    <row r="97" spans="3:3" ht="15.75" customHeight="1" x14ac:dyDescent="0.25">
      <c r="C97" s="134"/>
    </row>
    <row r="98" spans="3:3" ht="15.75" customHeight="1" x14ac:dyDescent="0.25">
      <c r="C98" s="134"/>
    </row>
    <row r="99" spans="3:3" ht="15.75" customHeight="1" x14ac:dyDescent="0.25">
      <c r="C99" s="134"/>
    </row>
    <row r="100" spans="3:3" ht="15.75" customHeight="1" x14ac:dyDescent="0.25">
      <c r="C100" s="134"/>
    </row>
    <row r="101" spans="3:3" ht="15.75" customHeight="1" x14ac:dyDescent="0.25">
      <c r="C101" s="134"/>
    </row>
    <row r="102" spans="3:3" ht="15.75" customHeight="1" x14ac:dyDescent="0.25">
      <c r="C102" s="134"/>
    </row>
    <row r="103" spans="3:3" ht="15.75" customHeight="1" x14ac:dyDescent="0.25">
      <c r="C103" s="134"/>
    </row>
    <row r="104" spans="3:3" ht="15.75" customHeight="1" x14ac:dyDescent="0.25">
      <c r="C104" s="134"/>
    </row>
    <row r="105" spans="3:3" ht="15.75" customHeight="1" x14ac:dyDescent="0.25">
      <c r="C105" s="134"/>
    </row>
    <row r="106" spans="3:3" ht="15.75" customHeight="1" x14ac:dyDescent="0.25">
      <c r="C106" s="134"/>
    </row>
    <row r="107" spans="3:3" ht="15.75" customHeight="1" x14ac:dyDescent="0.25">
      <c r="C107" s="134"/>
    </row>
    <row r="108" spans="3:3" ht="15.75" customHeight="1" x14ac:dyDescent="0.25">
      <c r="C108" s="134"/>
    </row>
    <row r="109" spans="3:3" ht="15.75" customHeight="1" x14ac:dyDescent="0.25">
      <c r="C109" s="134"/>
    </row>
    <row r="110" spans="3:3" ht="15.75" customHeight="1" x14ac:dyDescent="0.25">
      <c r="C110" s="134"/>
    </row>
    <row r="111" spans="3:3" ht="15.75" customHeight="1" x14ac:dyDescent="0.25">
      <c r="C111" s="134"/>
    </row>
    <row r="112" spans="3:3" ht="15.75" customHeight="1" x14ac:dyDescent="0.25">
      <c r="C112" s="134"/>
    </row>
    <row r="113" spans="3:3" ht="15.75" customHeight="1" x14ac:dyDescent="0.25">
      <c r="C113" s="134"/>
    </row>
    <row r="114" spans="3:3" ht="15.75" customHeight="1" x14ac:dyDescent="0.25">
      <c r="C114" s="134"/>
    </row>
    <row r="115" spans="3:3" ht="15.75" customHeight="1" x14ac:dyDescent="0.25">
      <c r="C115" s="134"/>
    </row>
    <row r="116" spans="3:3" ht="15.75" customHeight="1" x14ac:dyDescent="0.25">
      <c r="C116" s="134"/>
    </row>
    <row r="117" spans="3:3" ht="15.75" customHeight="1" x14ac:dyDescent="0.25">
      <c r="C117" s="134"/>
    </row>
    <row r="118" spans="3:3" ht="15.75" customHeight="1" x14ac:dyDescent="0.25">
      <c r="C118" s="134"/>
    </row>
    <row r="119" spans="3:3" ht="15.75" customHeight="1" x14ac:dyDescent="0.25">
      <c r="C119" s="134"/>
    </row>
    <row r="120" spans="3:3" ht="15.75" customHeight="1" x14ac:dyDescent="0.25">
      <c r="C120" s="134"/>
    </row>
    <row r="121" spans="3:3" ht="15.75" customHeight="1" x14ac:dyDescent="0.25">
      <c r="C121" s="134"/>
    </row>
    <row r="122" spans="3:3" ht="15.75" customHeight="1" x14ac:dyDescent="0.25">
      <c r="C122" s="134"/>
    </row>
    <row r="123" spans="3:3" ht="15.75" customHeight="1" x14ac:dyDescent="0.25">
      <c r="C123" s="134"/>
    </row>
    <row r="124" spans="3:3" ht="15.75" customHeight="1" x14ac:dyDescent="0.25">
      <c r="C124" s="134"/>
    </row>
    <row r="125" spans="3:3" ht="15.75" customHeight="1" x14ac:dyDescent="0.25">
      <c r="C125" s="134"/>
    </row>
    <row r="126" spans="3:3" ht="15.75" customHeight="1" x14ac:dyDescent="0.25">
      <c r="C126" s="134"/>
    </row>
    <row r="127" spans="3:3" ht="15.75" customHeight="1" x14ac:dyDescent="0.25">
      <c r="C127" s="134"/>
    </row>
    <row r="128" spans="3:3" ht="15.75" customHeight="1" x14ac:dyDescent="0.25">
      <c r="C128" s="134"/>
    </row>
    <row r="129" spans="3:3" ht="15.75" customHeight="1" x14ac:dyDescent="0.25">
      <c r="C129" s="134"/>
    </row>
    <row r="130" spans="3:3" ht="15.75" customHeight="1" x14ac:dyDescent="0.25">
      <c r="C130" s="134"/>
    </row>
    <row r="131" spans="3:3" ht="15.75" customHeight="1" x14ac:dyDescent="0.25">
      <c r="C131" s="134"/>
    </row>
    <row r="132" spans="3:3" ht="15.75" customHeight="1" x14ac:dyDescent="0.25">
      <c r="C132" s="134"/>
    </row>
    <row r="133" spans="3:3" ht="15.75" customHeight="1" x14ac:dyDescent="0.25">
      <c r="C133" s="134"/>
    </row>
    <row r="134" spans="3:3" ht="15.75" customHeight="1" x14ac:dyDescent="0.25">
      <c r="C134" s="134"/>
    </row>
    <row r="135" spans="3:3" ht="15.75" customHeight="1" x14ac:dyDescent="0.25">
      <c r="C135" s="134"/>
    </row>
    <row r="136" spans="3:3" ht="15.75" customHeight="1" x14ac:dyDescent="0.25">
      <c r="C136" s="134"/>
    </row>
    <row r="137" spans="3:3" ht="15.75" customHeight="1" x14ac:dyDescent="0.25">
      <c r="C137" s="134"/>
    </row>
    <row r="138" spans="3:3" ht="15.75" customHeight="1" x14ac:dyDescent="0.25">
      <c r="C138" s="134"/>
    </row>
    <row r="139" spans="3:3" ht="15.75" customHeight="1" x14ac:dyDescent="0.25">
      <c r="C139" s="134"/>
    </row>
    <row r="140" spans="3:3" ht="15.75" customHeight="1" x14ac:dyDescent="0.25">
      <c r="C140" s="134"/>
    </row>
    <row r="141" spans="3:3" ht="15.75" customHeight="1" x14ac:dyDescent="0.25">
      <c r="C141" s="134"/>
    </row>
    <row r="142" spans="3:3" ht="15.75" customHeight="1" x14ac:dyDescent="0.25">
      <c r="C142" s="134"/>
    </row>
    <row r="143" spans="3:3" ht="15.75" customHeight="1" x14ac:dyDescent="0.25">
      <c r="C143" s="134"/>
    </row>
    <row r="144" spans="3:3" ht="15.75" customHeight="1" x14ac:dyDescent="0.25">
      <c r="C144" s="134"/>
    </row>
    <row r="145" spans="3:3" ht="15.75" customHeight="1" x14ac:dyDescent="0.25">
      <c r="C145" s="134"/>
    </row>
    <row r="146" spans="3:3" ht="15.75" customHeight="1" x14ac:dyDescent="0.25">
      <c r="C146" s="134"/>
    </row>
    <row r="147" spans="3:3" ht="15.75" customHeight="1" x14ac:dyDescent="0.25">
      <c r="C147" s="134"/>
    </row>
    <row r="148" spans="3:3" ht="15.75" customHeight="1" x14ac:dyDescent="0.25">
      <c r="C148" s="134"/>
    </row>
    <row r="149" spans="3:3" ht="15.75" customHeight="1" x14ac:dyDescent="0.25">
      <c r="C149" s="134"/>
    </row>
    <row r="150" spans="3:3" ht="15.75" customHeight="1" x14ac:dyDescent="0.25">
      <c r="C150" s="134"/>
    </row>
    <row r="151" spans="3:3" ht="15.75" customHeight="1" x14ac:dyDescent="0.25">
      <c r="C151" s="134"/>
    </row>
    <row r="152" spans="3:3" ht="15.75" customHeight="1" x14ac:dyDescent="0.25">
      <c r="C152" s="134"/>
    </row>
    <row r="153" spans="3:3" ht="15.75" customHeight="1" x14ac:dyDescent="0.25">
      <c r="C153" s="134"/>
    </row>
    <row r="154" spans="3:3" ht="15.75" customHeight="1" x14ac:dyDescent="0.25">
      <c r="C154" s="134"/>
    </row>
    <row r="155" spans="3:3" ht="15.75" customHeight="1" x14ac:dyDescent="0.25">
      <c r="C155" s="134"/>
    </row>
    <row r="156" spans="3:3" ht="15.75" customHeight="1" x14ac:dyDescent="0.25">
      <c r="C156" s="134"/>
    </row>
    <row r="157" spans="3:3" ht="15.75" customHeight="1" x14ac:dyDescent="0.25">
      <c r="C157" s="134"/>
    </row>
    <row r="158" spans="3:3" ht="15.75" customHeight="1" x14ac:dyDescent="0.25">
      <c r="C158" s="134"/>
    </row>
    <row r="159" spans="3:3" ht="15.75" customHeight="1" x14ac:dyDescent="0.25">
      <c r="C159" s="134"/>
    </row>
    <row r="160" spans="3:3" ht="15.75" customHeight="1" x14ac:dyDescent="0.25">
      <c r="C160" s="134"/>
    </row>
    <row r="161" spans="3:3" ht="15.75" customHeight="1" x14ac:dyDescent="0.25">
      <c r="C161" s="134"/>
    </row>
    <row r="162" spans="3:3" ht="15.75" customHeight="1" x14ac:dyDescent="0.25">
      <c r="C162" s="134"/>
    </row>
    <row r="163" spans="3:3" ht="15.75" customHeight="1" x14ac:dyDescent="0.25">
      <c r="C163" s="134"/>
    </row>
    <row r="164" spans="3:3" ht="15.75" customHeight="1" x14ac:dyDescent="0.25">
      <c r="C164" s="134"/>
    </row>
    <row r="165" spans="3:3" ht="15.75" customHeight="1" x14ac:dyDescent="0.25">
      <c r="C165" s="134"/>
    </row>
    <row r="166" spans="3:3" ht="15.75" customHeight="1" x14ac:dyDescent="0.25">
      <c r="C166" s="134"/>
    </row>
    <row r="167" spans="3:3" ht="15.75" customHeight="1" x14ac:dyDescent="0.25">
      <c r="C167" s="134"/>
    </row>
    <row r="168" spans="3:3" ht="15.75" customHeight="1" x14ac:dyDescent="0.25">
      <c r="C168" s="134"/>
    </row>
    <row r="169" spans="3:3" ht="15.75" customHeight="1" x14ac:dyDescent="0.25">
      <c r="C169" s="134"/>
    </row>
    <row r="170" spans="3:3" ht="15.75" customHeight="1" x14ac:dyDescent="0.25">
      <c r="C170" s="134"/>
    </row>
    <row r="171" spans="3:3" ht="15.75" customHeight="1" x14ac:dyDescent="0.25">
      <c r="C171" s="134"/>
    </row>
    <row r="172" spans="3:3" ht="15.75" customHeight="1" x14ac:dyDescent="0.25">
      <c r="C172" s="134"/>
    </row>
    <row r="173" spans="3:3" ht="15.75" customHeight="1" x14ac:dyDescent="0.25">
      <c r="C173" s="134"/>
    </row>
    <row r="174" spans="3:3" ht="15.75" customHeight="1" x14ac:dyDescent="0.25">
      <c r="C174" s="134"/>
    </row>
    <row r="175" spans="3:3" ht="15.75" customHeight="1" x14ac:dyDescent="0.25">
      <c r="C175" s="134"/>
    </row>
    <row r="176" spans="3:3" ht="15.75" customHeight="1" x14ac:dyDescent="0.25">
      <c r="C176" s="134"/>
    </row>
    <row r="177" spans="3:3" ht="15.75" customHeight="1" x14ac:dyDescent="0.25">
      <c r="C177" s="134"/>
    </row>
    <row r="178" spans="3:3" ht="15.75" customHeight="1" x14ac:dyDescent="0.25">
      <c r="C178" s="134"/>
    </row>
    <row r="179" spans="3:3" ht="15.75" customHeight="1" x14ac:dyDescent="0.25">
      <c r="C179" s="134"/>
    </row>
    <row r="180" spans="3:3" ht="15.75" customHeight="1" x14ac:dyDescent="0.25">
      <c r="C180" s="134"/>
    </row>
    <row r="181" spans="3:3" ht="15.75" customHeight="1" x14ac:dyDescent="0.25">
      <c r="C181" s="134"/>
    </row>
    <row r="182" spans="3:3" ht="15.75" customHeight="1" x14ac:dyDescent="0.25">
      <c r="C182" s="134"/>
    </row>
    <row r="183" spans="3:3" ht="15.75" customHeight="1" x14ac:dyDescent="0.25">
      <c r="C183" s="134"/>
    </row>
    <row r="184" spans="3:3" ht="15.75" customHeight="1" x14ac:dyDescent="0.25">
      <c r="C184" s="134"/>
    </row>
    <row r="185" spans="3:3" ht="15.75" customHeight="1" x14ac:dyDescent="0.25">
      <c r="C185" s="134"/>
    </row>
    <row r="186" spans="3:3" ht="15.75" customHeight="1" x14ac:dyDescent="0.25">
      <c r="C186" s="134"/>
    </row>
    <row r="187" spans="3:3" ht="15.75" customHeight="1" x14ac:dyDescent="0.25">
      <c r="C187" s="134"/>
    </row>
    <row r="188" spans="3:3" ht="15.75" customHeight="1" x14ac:dyDescent="0.25">
      <c r="C188" s="134"/>
    </row>
    <row r="189" spans="3:3" ht="15.75" customHeight="1" x14ac:dyDescent="0.25">
      <c r="C189" s="134"/>
    </row>
    <row r="190" spans="3:3" ht="15.75" customHeight="1" x14ac:dyDescent="0.25">
      <c r="C190" s="134"/>
    </row>
    <row r="191" spans="3:3" ht="15.75" customHeight="1" x14ac:dyDescent="0.25">
      <c r="C191" s="134"/>
    </row>
    <row r="192" spans="3:3" ht="15.75" customHeight="1" x14ac:dyDescent="0.25">
      <c r="C192" s="134"/>
    </row>
    <row r="193" spans="3:3" ht="15.75" customHeight="1" x14ac:dyDescent="0.25">
      <c r="C193" s="134"/>
    </row>
    <row r="194" spans="3:3" ht="15.75" customHeight="1" x14ac:dyDescent="0.25">
      <c r="C194" s="134"/>
    </row>
    <row r="195" spans="3:3" ht="15.75" customHeight="1" x14ac:dyDescent="0.25">
      <c r="C195" s="134"/>
    </row>
    <row r="196" spans="3:3" ht="15.75" customHeight="1" x14ac:dyDescent="0.25">
      <c r="C196" s="134"/>
    </row>
    <row r="197" spans="3:3" ht="15.75" customHeight="1" x14ac:dyDescent="0.25">
      <c r="C197" s="134"/>
    </row>
    <row r="198" spans="3:3" ht="15.75" customHeight="1" x14ac:dyDescent="0.25">
      <c r="C198" s="134"/>
    </row>
    <row r="199" spans="3:3" ht="15.75" customHeight="1" x14ac:dyDescent="0.25">
      <c r="C199" s="134"/>
    </row>
    <row r="200" spans="3:3" ht="15.75" customHeight="1" x14ac:dyDescent="0.25">
      <c r="C200" s="134"/>
    </row>
    <row r="201" spans="3:3" ht="15.75" customHeight="1" x14ac:dyDescent="0.25">
      <c r="C201" s="134"/>
    </row>
    <row r="202" spans="3:3" ht="15.75" customHeight="1" x14ac:dyDescent="0.25">
      <c r="C202" s="134"/>
    </row>
    <row r="203" spans="3:3" ht="15.75" customHeight="1" x14ac:dyDescent="0.25">
      <c r="C203" s="134"/>
    </row>
    <row r="204" spans="3:3" ht="15.75" customHeight="1" x14ac:dyDescent="0.25">
      <c r="C204" s="134"/>
    </row>
    <row r="205" spans="3:3" ht="15.75" customHeight="1" x14ac:dyDescent="0.25">
      <c r="C205" s="134"/>
    </row>
    <row r="206" spans="3:3" ht="15.75" customHeight="1" x14ac:dyDescent="0.25">
      <c r="C206" s="134"/>
    </row>
    <row r="207" spans="3:3" ht="15.75" customHeight="1" x14ac:dyDescent="0.25">
      <c r="C207" s="134"/>
    </row>
    <row r="208" spans="3:3" ht="15.75" customHeight="1" x14ac:dyDescent="0.25">
      <c r="C208" s="134"/>
    </row>
    <row r="209" spans="3:3" ht="15.75" customHeight="1" x14ac:dyDescent="0.25">
      <c r="C209" s="134"/>
    </row>
    <row r="210" spans="3:3" ht="15.75" customHeight="1" x14ac:dyDescent="0.25">
      <c r="C210" s="134"/>
    </row>
    <row r="211" spans="3:3" ht="15.75" customHeight="1" x14ac:dyDescent="0.25">
      <c r="C211" s="134"/>
    </row>
    <row r="212" spans="3:3" ht="15.75" customHeight="1" x14ac:dyDescent="0.25">
      <c r="C212" s="134"/>
    </row>
    <row r="213" spans="3:3" ht="15.75" customHeight="1" x14ac:dyDescent="0.25">
      <c r="C213" s="134"/>
    </row>
    <row r="214" spans="3:3" ht="15.75" customHeight="1" x14ac:dyDescent="0.25">
      <c r="C214" s="134"/>
    </row>
    <row r="215" spans="3:3" ht="15.75" customHeight="1" x14ac:dyDescent="0.25">
      <c r="C215" s="134"/>
    </row>
    <row r="216" spans="3:3" ht="15.75" customHeight="1" x14ac:dyDescent="0.25">
      <c r="C216" s="134"/>
    </row>
    <row r="217" spans="3:3" ht="15.75" customHeight="1" x14ac:dyDescent="0.25">
      <c r="C217" s="134"/>
    </row>
    <row r="218" spans="3:3" ht="15.75" customHeight="1" x14ac:dyDescent="0.25">
      <c r="C218" s="134"/>
    </row>
    <row r="219" spans="3:3" ht="15.75" customHeight="1" x14ac:dyDescent="0.25">
      <c r="C219" s="134"/>
    </row>
    <row r="220" spans="3:3" ht="15.75" customHeight="1" x14ac:dyDescent="0.25">
      <c r="C220" s="134"/>
    </row>
    <row r="221" spans="3:3" ht="15.75" customHeight="1" x14ac:dyDescent="0.25">
      <c r="C221" s="134"/>
    </row>
    <row r="222" spans="3:3" ht="15.75" customHeight="1" x14ac:dyDescent="0.25">
      <c r="C222" s="134"/>
    </row>
    <row r="223" spans="3:3" ht="15.75" customHeight="1" x14ac:dyDescent="0.25">
      <c r="C223" s="134"/>
    </row>
    <row r="224" spans="3:3" ht="15.75" customHeight="1" x14ac:dyDescent="0.25">
      <c r="C224" s="134"/>
    </row>
    <row r="225" spans="3:3" ht="15.75" customHeight="1" x14ac:dyDescent="0.25">
      <c r="C225" s="134"/>
    </row>
    <row r="226" spans="3:3" ht="15.75" customHeight="1" x14ac:dyDescent="0.25">
      <c r="C226" s="134"/>
    </row>
    <row r="227" spans="3:3" ht="15.75" customHeight="1" x14ac:dyDescent="0.25">
      <c r="C227" s="134"/>
    </row>
    <row r="228" spans="3:3" ht="15.75" customHeight="1" x14ac:dyDescent="0.25">
      <c r="C228" s="134"/>
    </row>
    <row r="229" spans="3:3" ht="15.75" customHeight="1" x14ac:dyDescent="0.25">
      <c r="C229" s="134"/>
    </row>
    <row r="230" spans="3:3" ht="15.75" customHeight="1" x14ac:dyDescent="0.25">
      <c r="C230" s="134"/>
    </row>
    <row r="231" spans="3:3" ht="15.75" customHeight="1" x14ac:dyDescent="0.25">
      <c r="C231" s="134"/>
    </row>
    <row r="232" spans="3:3" ht="15.75" customHeight="1" x14ac:dyDescent="0.25">
      <c r="C232" s="134"/>
    </row>
    <row r="233" spans="3:3" ht="15.75" customHeight="1" x14ac:dyDescent="0.25">
      <c r="C233" s="134"/>
    </row>
    <row r="234" spans="3:3" ht="15.75" customHeight="1" x14ac:dyDescent="0.25">
      <c r="C234" s="134"/>
    </row>
    <row r="235" spans="3:3" ht="15.75" customHeight="1" x14ac:dyDescent="0.25">
      <c r="C235" s="134"/>
    </row>
    <row r="236" spans="3:3" ht="15.75" customHeight="1" x14ac:dyDescent="0.25">
      <c r="C236" s="134"/>
    </row>
    <row r="237" spans="3:3" ht="15.75" customHeight="1" x14ac:dyDescent="0.25">
      <c r="C237" s="134"/>
    </row>
    <row r="238" spans="3:3" ht="15.75" customHeight="1" x14ac:dyDescent="0.25">
      <c r="C238" s="134"/>
    </row>
    <row r="239" spans="3:3" ht="15.75" customHeight="1" x14ac:dyDescent="0.25">
      <c r="C239" s="134"/>
    </row>
    <row r="240" spans="3:3" ht="15.75" customHeight="1" x14ac:dyDescent="0.25">
      <c r="C240" s="134"/>
    </row>
    <row r="241" spans="3:3" ht="15.75" customHeight="1" x14ac:dyDescent="0.25">
      <c r="C241" s="134"/>
    </row>
    <row r="242" spans="3:3" ht="15.75" customHeight="1" x14ac:dyDescent="0.25">
      <c r="C242" s="134"/>
    </row>
    <row r="243" spans="3:3" ht="15.75" customHeight="1" x14ac:dyDescent="0.25">
      <c r="C243" s="134"/>
    </row>
    <row r="244" spans="3:3" ht="15.75" customHeight="1" x14ac:dyDescent="0.25">
      <c r="C244" s="134"/>
    </row>
    <row r="245" spans="3:3" ht="15.75" customHeight="1" x14ac:dyDescent="0.25">
      <c r="C245" s="134"/>
    </row>
    <row r="246" spans="3:3" ht="15.75" customHeight="1" x14ac:dyDescent="0.25">
      <c r="C246" s="134"/>
    </row>
    <row r="247" spans="3:3" ht="15.75" customHeight="1" x14ac:dyDescent="0.25">
      <c r="C247" s="134"/>
    </row>
    <row r="248" spans="3:3" ht="15.75" customHeight="1" x14ac:dyDescent="0.25">
      <c r="C248" s="134"/>
    </row>
    <row r="249" spans="3:3" ht="15.75" customHeight="1" x14ac:dyDescent="0.25">
      <c r="C249" s="134"/>
    </row>
    <row r="250" spans="3:3" ht="15.75" customHeight="1" x14ac:dyDescent="0.25">
      <c r="C250" s="134"/>
    </row>
    <row r="251" spans="3:3" ht="15.75" customHeight="1" x14ac:dyDescent="0.25">
      <c r="C251" s="134"/>
    </row>
    <row r="252" spans="3:3" ht="15.75" customHeight="1" x14ac:dyDescent="0.25">
      <c r="C252" s="134"/>
    </row>
    <row r="253" spans="3:3" ht="15.75" customHeight="1" x14ac:dyDescent="0.25">
      <c r="C253" s="134"/>
    </row>
    <row r="254" spans="3:3" ht="15.75" customHeight="1" x14ac:dyDescent="0.25">
      <c r="C254" s="134"/>
    </row>
    <row r="255" spans="3:3" ht="15.75" customHeight="1" x14ac:dyDescent="0.25">
      <c r="C255" s="134"/>
    </row>
    <row r="256" spans="3:3" ht="15.75" customHeight="1" x14ac:dyDescent="0.25">
      <c r="C256" s="134"/>
    </row>
    <row r="257" spans="3:3" ht="15.75" customHeight="1" x14ac:dyDescent="0.25">
      <c r="C257" s="134"/>
    </row>
    <row r="258" spans="3:3" ht="15.75" customHeight="1" x14ac:dyDescent="0.25">
      <c r="C258" s="134"/>
    </row>
    <row r="259" spans="3:3" ht="15.75" customHeight="1" x14ac:dyDescent="0.25">
      <c r="C259" s="134"/>
    </row>
    <row r="260" spans="3:3" ht="15.75" customHeight="1" x14ac:dyDescent="0.25">
      <c r="C260" s="134"/>
    </row>
    <row r="261" spans="3:3" ht="15.75" customHeight="1" x14ac:dyDescent="0.25">
      <c r="C261" s="134"/>
    </row>
    <row r="262" spans="3:3" ht="15.75" customHeight="1" x14ac:dyDescent="0.25">
      <c r="C262" s="134"/>
    </row>
    <row r="263" spans="3:3" ht="15.75" customHeight="1" x14ac:dyDescent="0.25">
      <c r="C263" s="134"/>
    </row>
    <row r="264" spans="3:3" ht="15.75" customHeight="1" x14ac:dyDescent="0.25">
      <c r="C264" s="134"/>
    </row>
    <row r="265" spans="3:3" ht="15.75" customHeight="1" x14ac:dyDescent="0.25">
      <c r="C265" s="134"/>
    </row>
    <row r="266" spans="3:3" ht="15.75" customHeight="1" x14ac:dyDescent="0.25">
      <c r="C266" s="134"/>
    </row>
    <row r="267" spans="3:3" ht="15.75" customHeight="1" x14ac:dyDescent="0.25">
      <c r="C267" s="134"/>
    </row>
    <row r="268" spans="3:3" ht="15.75" customHeight="1" x14ac:dyDescent="0.25">
      <c r="C268" s="134"/>
    </row>
    <row r="269" spans="3:3" ht="15.75" customHeight="1" x14ac:dyDescent="0.25">
      <c r="C269" s="134"/>
    </row>
    <row r="270" spans="3:3" ht="15.75" customHeight="1" x14ac:dyDescent="0.25">
      <c r="C270" s="134"/>
    </row>
    <row r="271" spans="3:3" ht="15.75" customHeight="1" x14ac:dyDescent="0.25">
      <c r="C271" s="134"/>
    </row>
    <row r="272" spans="3:3" ht="15.75" customHeight="1" x14ac:dyDescent="0.25">
      <c r="C272" s="134"/>
    </row>
    <row r="273" spans="3:3" ht="15.75" customHeight="1" x14ac:dyDescent="0.25">
      <c r="C273" s="134"/>
    </row>
    <row r="274" spans="3:3" ht="15.75" customHeight="1" x14ac:dyDescent="0.25">
      <c r="C274" s="134"/>
    </row>
    <row r="275" spans="3:3" ht="15.75" customHeight="1" x14ac:dyDescent="0.25">
      <c r="C275" s="134"/>
    </row>
    <row r="276" spans="3:3" ht="15.75" customHeight="1" x14ac:dyDescent="0.25">
      <c r="C276" s="134"/>
    </row>
    <row r="277" spans="3:3" ht="15.75" customHeight="1" x14ac:dyDescent="0.25">
      <c r="C277" s="134"/>
    </row>
    <row r="278" spans="3:3" ht="15.75" customHeight="1" x14ac:dyDescent="0.25">
      <c r="C278" s="134"/>
    </row>
    <row r="279" spans="3:3" ht="15.75" customHeight="1" x14ac:dyDescent="0.25">
      <c r="C279" s="134"/>
    </row>
    <row r="280" spans="3:3" ht="15.75" customHeight="1" x14ac:dyDescent="0.25">
      <c r="C280" s="134"/>
    </row>
    <row r="281" spans="3:3" ht="15.75" customHeight="1" x14ac:dyDescent="0.25">
      <c r="C281" s="134"/>
    </row>
    <row r="282" spans="3:3" ht="15.75" customHeight="1" x14ac:dyDescent="0.25">
      <c r="C282" s="134"/>
    </row>
    <row r="283" spans="3:3" ht="15.75" customHeight="1" x14ac:dyDescent="0.25">
      <c r="C283" s="134"/>
    </row>
    <row r="284" spans="3:3" ht="15.75" customHeight="1" x14ac:dyDescent="0.25">
      <c r="C284" s="134"/>
    </row>
    <row r="285" spans="3:3" ht="15.75" customHeight="1" x14ac:dyDescent="0.25">
      <c r="C285" s="134"/>
    </row>
    <row r="286" spans="3:3" ht="15.75" customHeight="1" x14ac:dyDescent="0.25">
      <c r="C286" s="134"/>
    </row>
    <row r="287" spans="3:3" ht="15.75" customHeight="1" x14ac:dyDescent="0.25">
      <c r="C287" s="134"/>
    </row>
    <row r="288" spans="3:3" ht="15.75" customHeight="1" x14ac:dyDescent="0.25">
      <c r="C288" s="134"/>
    </row>
    <row r="289" spans="3:3" ht="15.75" customHeight="1" x14ac:dyDescent="0.25">
      <c r="C289" s="134"/>
    </row>
    <row r="290" spans="3:3" ht="15.75" customHeight="1" x14ac:dyDescent="0.25">
      <c r="C290" s="134"/>
    </row>
    <row r="291" spans="3:3" ht="15.75" customHeight="1" x14ac:dyDescent="0.25">
      <c r="C291" s="134"/>
    </row>
    <row r="292" spans="3:3" ht="15.75" customHeight="1" x14ac:dyDescent="0.25">
      <c r="C292" s="134"/>
    </row>
    <row r="293" spans="3:3" ht="15.75" customHeight="1" x14ac:dyDescent="0.25">
      <c r="C293" s="134"/>
    </row>
    <row r="294" spans="3:3" ht="15.75" customHeight="1" x14ac:dyDescent="0.25">
      <c r="C294" s="134"/>
    </row>
    <row r="295" spans="3:3" ht="15.75" customHeight="1" x14ac:dyDescent="0.25">
      <c r="C295" s="134"/>
    </row>
    <row r="296" spans="3:3" ht="15.75" customHeight="1" x14ac:dyDescent="0.25">
      <c r="C296" s="134"/>
    </row>
    <row r="297" spans="3:3" ht="15.75" customHeight="1" x14ac:dyDescent="0.25">
      <c r="C297" s="134"/>
    </row>
    <row r="298" spans="3:3" ht="15.75" customHeight="1" x14ac:dyDescent="0.25">
      <c r="C298" s="134"/>
    </row>
    <row r="299" spans="3:3" ht="15.75" customHeight="1" x14ac:dyDescent="0.25">
      <c r="C299" s="134"/>
    </row>
    <row r="300" spans="3:3" ht="15.75" customHeight="1" x14ac:dyDescent="0.25">
      <c r="C300" s="134"/>
    </row>
    <row r="301" spans="3:3" ht="15.75" customHeight="1" x14ac:dyDescent="0.25">
      <c r="C301" s="134"/>
    </row>
    <row r="302" spans="3:3" ht="15.75" customHeight="1" x14ac:dyDescent="0.25">
      <c r="C302" s="134"/>
    </row>
    <row r="303" spans="3:3" ht="15.75" customHeight="1" x14ac:dyDescent="0.25">
      <c r="C303" s="134"/>
    </row>
    <row r="304" spans="3:3" ht="15.75" customHeight="1" x14ac:dyDescent="0.25">
      <c r="C304" s="134"/>
    </row>
    <row r="305" spans="3:3" ht="15.75" customHeight="1" x14ac:dyDescent="0.25">
      <c r="C305" s="134"/>
    </row>
    <row r="306" spans="3:3" ht="15.75" customHeight="1" x14ac:dyDescent="0.25">
      <c r="C306" s="134"/>
    </row>
    <row r="307" spans="3:3" ht="15.75" customHeight="1" x14ac:dyDescent="0.25">
      <c r="C307" s="134"/>
    </row>
    <row r="308" spans="3:3" ht="15.75" customHeight="1" x14ac:dyDescent="0.25">
      <c r="C308" s="134"/>
    </row>
    <row r="309" spans="3:3" ht="15.75" customHeight="1" x14ac:dyDescent="0.25">
      <c r="C309" s="134"/>
    </row>
    <row r="310" spans="3:3" ht="15.75" customHeight="1" x14ac:dyDescent="0.25">
      <c r="C310" s="134"/>
    </row>
    <row r="311" spans="3:3" ht="15.75" customHeight="1" x14ac:dyDescent="0.25">
      <c r="C311" s="134"/>
    </row>
    <row r="312" spans="3:3" ht="15.75" customHeight="1" x14ac:dyDescent="0.25">
      <c r="C312" s="134"/>
    </row>
    <row r="313" spans="3:3" ht="15.75" customHeight="1" x14ac:dyDescent="0.25">
      <c r="C313" s="134"/>
    </row>
    <row r="314" spans="3:3" ht="15.75" customHeight="1" x14ac:dyDescent="0.25">
      <c r="C314" s="134"/>
    </row>
    <row r="315" spans="3:3" ht="15.75" customHeight="1" x14ac:dyDescent="0.25">
      <c r="C315" s="134"/>
    </row>
    <row r="316" spans="3:3" ht="15.75" customHeight="1" x14ac:dyDescent="0.25">
      <c r="C316" s="134"/>
    </row>
    <row r="317" spans="3:3" ht="15.75" customHeight="1" x14ac:dyDescent="0.25">
      <c r="C317" s="134"/>
    </row>
    <row r="318" spans="3:3" ht="15.75" customHeight="1" x14ac:dyDescent="0.25">
      <c r="C318" s="134"/>
    </row>
    <row r="319" spans="3:3" ht="15.75" customHeight="1" x14ac:dyDescent="0.25">
      <c r="C319" s="134"/>
    </row>
    <row r="320" spans="3:3" ht="15.75" customHeight="1" x14ac:dyDescent="0.25">
      <c r="C320" s="134"/>
    </row>
    <row r="321" spans="3:3" ht="15.75" customHeight="1" x14ac:dyDescent="0.25">
      <c r="C321" s="134"/>
    </row>
    <row r="322" spans="3:3" ht="15.75" customHeight="1" x14ac:dyDescent="0.25">
      <c r="C322" s="134"/>
    </row>
    <row r="323" spans="3:3" ht="15.75" customHeight="1" x14ac:dyDescent="0.25">
      <c r="C323" s="134"/>
    </row>
    <row r="324" spans="3:3" ht="15.75" customHeight="1" x14ac:dyDescent="0.25">
      <c r="C324" s="134"/>
    </row>
    <row r="325" spans="3:3" ht="15.75" customHeight="1" x14ac:dyDescent="0.25">
      <c r="C325" s="134"/>
    </row>
    <row r="326" spans="3:3" ht="15.75" customHeight="1" x14ac:dyDescent="0.25">
      <c r="C326" s="134"/>
    </row>
    <row r="327" spans="3:3" ht="15.75" customHeight="1" x14ac:dyDescent="0.25">
      <c r="C327" s="134"/>
    </row>
    <row r="328" spans="3:3" ht="15.75" customHeight="1" x14ac:dyDescent="0.25">
      <c r="C328" s="134"/>
    </row>
    <row r="329" spans="3:3" ht="15.75" customHeight="1" x14ac:dyDescent="0.25">
      <c r="C329" s="134"/>
    </row>
    <row r="330" spans="3:3" ht="15.75" customHeight="1" x14ac:dyDescent="0.25">
      <c r="C330" s="134"/>
    </row>
    <row r="331" spans="3:3" ht="15.75" customHeight="1" x14ac:dyDescent="0.25">
      <c r="C331" s="134"/>
    </row>
    <row r="332" spans="3:3" ht="15.75" customHeight="1" x14ac:dyDescent="0.25">
      <c r="C332" s="134"/>
    </row>
    <row r="333" spans="3:3" ht="15.75" customHeight="1" x14ac:dyDescent="0.25">
      <c r="C333" s="134"/>
    </row>
    <row r="334" spans="3:3" ht="15.75" customHeight="1" x14ac:dyDescent="0.25">
      <c r="C334" s="134"/>
    </row>
    <row r="335" spans="3:3" ht="15.75" customHeight="1" x14ac:dyDescent="0.25">
      <c r="C335" s="134"/>
    </row>
    <row r="336" spans="3:3" ht="15.75" customHeight="1" x14ac:dyDescent="0.25">
      <c r="C336" s="134"/>
    </row>
    <row r="337" spans="3:3" ht="15.75" customHeight="1" x14ac:dyDescent="0.25">
      <c r="C337" s="134"/>
    </row>
    <row r="338" spans="3:3" ht="15.75" customHeight="1" x14ac:dyDescent="0.25">
      <c r="C338" s="134"/>
    </row>
    <row r="339" spans="3:3" ht="15.75" customHeight="1" x14ac:dyDescent="0.25">
      <c r="C339" s="134"/>
    </row>
    <row r="340" spans="3:3" ht="15.75" customHeight="1" x14ac:dyDescent="0.25">
      <c r="C340" s="134"/>
    </row>
    <row r="341" spans="3:3" ht="15.75" customHeight="1" x14ac:dyDescent="0.25">
      <c r="C341" s="134"/>
    </row>
    <row r="342" spans="3:3" ht="15.75" customHeight="1" x14ac:dyDescent="0.25">
      <c r="C342" s="134"/>
    </row>
    <row r="343" spans="3:3" ht="15.75" customHeight="1" x14ac:dyDescent="0.25">
      <c r="C343" s="134"/>
    </row>
    <row r="344" spans="3:3" ht="15.75" customHeight="1" x14ac:dyDescent="0.25">
      <c r="C344" s="134"/>
    </row>
    <row r="345" spans="3:3" ht="15.75" customHeight="1" x14ac:dyDescent="0.25">
      <c r="C345" s="134"/>
    </row>
    <row r="346" spans="3:3" ht="15.75" customHeight="1" x14ac:dyDescent="0.25">
      <c r="C346" s="134"/>
    </row>
    <row r="347" spans="3:3" ht="15.75" customHeight="1" x14ac:dyDescent="0.25">
      <c r="C347" s="134"/>
    </row>
    <row r="348" spans="3:3" ht="15.75" customHeight="1" x14ac:dyDescent="0.25">
      <c r="C348" s="134"/>
    </row>
    <row r="349" spans="3:3" ht="15.75" customHeight="1" x14ac:dyDescent="0.25">
      <c r="C349" s="134"/>
    </row>
    <row r="350" spans="3:3" ht="15.75" customHeight="1" x14ac:dyDescent="0.25">
      <c r="C350" s="134"/>
    </row>
    <row r="351" spans="3:3" ht="15.75" customHeight="1" x14ac:dyDescent="0.25">
      <c r="C351" s="134"/>
    </row>
    <row r="352" spans="3:3" ht="15.75" customHeight="1" x14ac:dyDescent="0.25">
      <c r="C352" s="134"/>
    </row>
    <row r="353" spans="3:3" ht="15.75" customHeight="1" x14ac:dyDescent="0.25">
      <c r="C353" s="134"/>
    </row>
    <row r="354" spans="3:3" ht="15.75" customHeight="1" x14ac:dyDescent="0.25">
      <c r="C354" s="134"/>
    </row>
    <row r="355" spans="3:3" ht="15.75" customHeight="1" x14ac:dyDescent="0.25">
      <c r="C355" s="134"/>
    </row>
    <row r="356" spans="3:3" ht="15.75" customHeight="1" x14ac:dyDescent="0.25">
      <c r="C356" s="134"/>
    </row>
    <row r="357" spans="3:3" ht="15.75" customHeight="1" x14ac:dyDescent="0.25">
      <c r="C357" s="134"/>
    </row>
    <row r="358" spans="3:3" ht="15.75" customHeight="1" x14ac:dyDescent="0.25">
      <c r="C358" s="134"/>
    </row>
    <row r="359" spans="3:3" ht="15.75" customHeight="1" x14ac:dyDescent="0.25">
      <c r="C359" s="134"/>
    </row>
    <row r="360" spans="3:3" ht="15.75" customHeight="1" x14ac:dyDescent="0.25">
      <c r="C360" s="134"/>
    </row>
    <row r="361" spans="3:3" ht="15.75" customHeight="1" x14ac:dyDescent="0.25">
      <c r="C361" s="134"/>
    </row>
    <row r="362" spans="3:3" ht="15.75" customHeight="1" x14ac:dyDescent="0.25">
      <c r="C362" s="134"/>
    </row>
    <row r="363" spans="3:3" ht="15.75" customHeight="1" x14ac:dyDescent="0.25">
      <c r="C363" s="134"/>
    </row>
    <row r="364" spans="3:3" ht="15.75" customHeight="1" x14ac:dyDescent="0.25">
      <c r="C364" s="134"/>
    </row>
    <row r="365" spans="3:3" ht="15.75" customHeight="1" x14ac:dyDescent="0.25">
      <c r="C365" s="134"/>
    </row>
    <row r="366" spans="3:3" ht="15.75" customHeight="1" x14ac:dyDescent="0.25">
      <c r="C366" s="134"/>
    </row>
    <row r="367" spans="3:3" ht="15.75" customHeight="1" x14ac:dyDescent="0.25">
      <c r="C367" s="134"/>
    </row>
    <row r="368" spans="3:3" ht="15.75" customHeight="1" x14ac:dyDescent="0.25">
      <c r="C368" s="134"/>
    </row>
    <row r="369" spans="3:3" ht="15.75" customHeight="1" x14ac:dyDescent="0.25">
      <c r="C369" s="134"/>
    </row>
    <row r="370" spans="3:3" ht="15.75" customHeight="1" x14ac:dyDescent="0.25">
      <c r="C370" s="134"/>
    </row>
    <row r="371" spans="3:3" ht="15.75" customHeight="1" x14ac:dyDescent="0.25">
      <c r="C371" s="134"/>
    </row>
    <row r="372" spans="3:3" ht="15.75" customHeight="1" x14ac:dyDescent="0.25">
      <c r="C372" s="134"/>
    </row>
    <row r="373" spans="3:3" ht="15.75" customHeight="1" x14ac:dyDescent="0.25">
      <c r="C373" s="134"/>
    </row>
    <row r="374" spans="3:3" ht="15.75" customHeight="1" x14ac:dyDescent="0.25">
      <c r="C374" s="134"/>
    </row>
    <row r="375" spans="3:3" ht="15.75" customHeight="1" x14ac:dyDescent="0.25">
      <c r="C375" s="134"/>
    </row>
    <row r="376" spans="3:3" ht="15.75" customHeight="1" x14ac:dyDescent="0.25">
      <c r="C376" s="134"/>
    </row>
    <row r="377" spans="3:3" ht="15.75" customHeight="1" x14ac:dyDescent="0.25">
      <c r="C377" s="134"/>
    </row>
    <row r="378" spans="3:3" ht="15.75" customHeight="1" x14ac:dyDescent="0.25">
      <c r="C378" s="134"/>
    </row>
    <row r="379" spans="3:3" ht="15.75" customHeight="1" x14ac:dyDescent="0.25">
      <c r="C379" s="134"/>
    </row>
    <row r="380" spans="3:3" ht="15.75" customHeight="1" x14ac:dyDescent="0.25">
      <c r="C380" s="134"/>
    </row>
    <row r="381" spans="3:3" ht="15.75" customHeight="1" x14ac:dyDescent="0.25">
      <c r="C381" s="134"/>
    </row>
    <row r="382" spans="3:3" ht="15.75" customHeight="1" x14ac:dyDescent="0.25">
      <c r="C382" s="134"/>
    </row>
    <row r="383" spans="3:3" ht="15.75" customHeight="1" x14ac:dyDescent="0.25">
      <c r="C383" s="134"/>
    </row>
    <row r="384" spans="3:3" ht="15.75" customHeight="1" x14ac:dyDescent="0.25">
      <c r="C384" s="134"/>
    </row>
    <row r="385" spans="3:3" ht="15.75" customHeight="1" x14ac:dyDescent="0.25">
      <c r="C385" s="134"/>
    </row>
    <row r="386" spans="3:3" ht="15.75" customHeight="1" x14ac:dyDescent="0.25">
      <c r="C386" s="134"/>
    </row>
    <row r="387" spans="3:3" ht="15.75" customHeight="1" x14ac:dyDescent="0.25">
      <c r="C387" s="134"/>
    </row>
    <row r="388" spans="3:3" ht="15.75" customHeight="1" x14ac:dyDescent="0.25">
      <c r="C388" s="134"/>
    </row>
    <row r="389" spans="3:3" ht="15.75" customHeight="1" x14ac:dyDescent="0.25">
      <c r="C389" s="134"/>
    </row>
    <row r="390" spans="3:3" ht="15.75" customHeight="1" x14ac:dyDescent="0.25">
      <c r="C390" s="134"/>
    </row>
    <row r="391" spans="3:3" ht="15.75" customHeight="1" x14ac:dyDescent="0.25">
      <c r="C391" s="134"/>
    </row>
    <row r="392" spans="3:3" ht="15.75" customHeight="1" x14ac:dyDescent="0.25">
      <c r="C392" s="134"/>
    </row>
    <row r="393" spans="3:3" ht="15.75" customHeight="1" x14ac:dyDescent="0.25">
      <c r="C393" s="134"/>
    </row>
    <row r="394" spans="3:3" ht="15.75" customHeight="1" x14ac:dyDescent="0.25">
      <c r="C394" s="134"/>
    </row>
    <row r="395" spans="3:3" ht="15.75" customHeight="1" x14ac:dyDescent="0.25">
      <c r="C395" s="134"/>
    </row>
    <row r="396" spans="3:3" ht="15.75" customHeight="1" x14ac:dyDescent="0.25">
      <c r="C396" s="134"/>
    </row>
    <row r="397" spans="3:3" ht="15.75" customHeight="1" x14ac:dyDescent="0.25">
      <c r="C397" s="134"/>
    </row>
    <row r="398" spans="3:3" ht="15.75" customHeight="1" x14ac:dyDescent="0.25">
      <c r="C398" s="134"/>
    </row>
    <row r="399" spans="3:3" ht="15.75" customHeight="1" x14ac:dyDescent="0.25">
      <c r="C399" s="134"/>
    </row>
    <row r="400" spans="3:3" ht="15.75" customHeight="1" x14ac:dyDescent="0.25">
      <c r="C400" s="134"/>
    </row>
    <row r="401" spans="3:3" ht="15.75" customHeight="1" x14ac:dyDescent="0.25">
      <c r="C401" s="134"/>
    </row>
    <row r="402" spans="3:3" ht="15.75" customHeight="1" x14ac:dyDescent="0.25">
      <c r="C402" s="134"/>
    </row>
    <row r="403" spans="3:3" ht="15.75" customHeight="1" x14ac:dyDescent="0.25">
      <c r="C403" s="134"/>
    </row>
    <row r="404" spans="3:3" ht="15.75" customHeight="1" x14ac:dyDescent="0.25">
      <c r="C404" s="134"/>
    </row>
    <row r="405" spans="3:3" ht="15.75" customHeight="1" x14ac:dyDescent="0.25">
      <c r="C405" s="134"/>
    </row>
    <row r="406" spans="3:3" ht="15.75" customHeight="1" x14ac:dyDescent="0.25">
      <c r="C406" s="134"/>
    </row>
    <row r="407" spans="3:3" ht="15.75" customHeight="1" x14ac:dyDescent="0.25">
      <c r="C407" s="134"/>
    </row>
    <row r="408" spans="3:3" ht="15.75" customHeight="1" x14ac:dyDescent="0.25">
      <c r="C408" s="134"/>
    </row>
    <row r="409" spans="3:3" ht="15.75" customHeight="1" x14ac:dyDescent="0.25">
      <c r="C409" s="134"/>
    </row>
    <row r="410" spans="3:3" ht="15.75" customHeight="1" x14ac:dyDescent="0.25">
      <c r="C410" s="134"/>
    </row>
    <row r="411" spans="3:3" ht="15.75" customHeight="1" x14ac:dyDescent="0.25">
      <c r="C411" s="134"/>
    </row>
    <row r="412" spans="3:3" ht="15.75" customHeight="1" x14ac:dyDescent="0.25">
      <c r="C412" s="134"/>
    </row>
    <row r="413" spans="3:3" ht="15.75" customHeight="1" x14ac:dyDescent="0.25">
      <c r="C413" s="134"/>
    </row>
    <row r="414" spans="3:3" ht="15.75" customHeight="1" x14ac:dyDescent="0.25">
      <c r="C414" s="134"/>
    </row>
    <row r="415" spans="3:3" ht="15.75" customHeight="1" x14ac:dyDescent="0.25">
      <c r="C415" s="134"/>
    </row>
    <row r="416" spans="3:3" ht="15.75" customHeight="1" x14ac:dyDescent="0.25">
      <c r="C416" s="134"/>
    </row>
    <row r="417" spans="3:3" ht="15.75" customHeight="1" x14ac:dyDescent="0.25">
      <c r="C417" s="134"/>
    </row>
    <row r="418" spans="3:3" ht="15.75" customHeight="1" x14ac:dyDescent="0.25">
      <c r="C418" s="134"/>
    </row>
    <row r="419" spans="3:3" ht="15.75" customHeight="1" x14ac:dyDescent="0.25">
      <c r="C419" s="134"/>
    </row>
    <row r="420" spans="3:3" ht="15.75" customHeight="1" x14ac:dyDescent="0.25">
      <c r="C420" s="134"/>
    </row>
    <row r="421" spans="3:3" ht="15.75" customHeight="1" x14ac:dyDescent="0.25">
      <c r="C421" s="134"/>
    </row>
    <row r="422" spans="3:3" ht="15.75" customHeight="1" x14ac:dyDescent="0.25">
      <c r="C422" s="134"/>
    </row>
    <row r="423" spans="3:3" ht="15.75" customHeight="1" x14ac:dyDescent="0.25">
      <c r="C423" s="134"/>
    </row>
    <row r="424" spans="3:3" ht="15.75" customHeight="1" x14ac:dyDescent="0.25">
      <c r="C424" s="134"/>
    </row>
    <row r="425" spans="3:3" ht="15.75" customHeight="1" x14ac:dyDescent="0.25">
      <c r="C425" s="134"/>
    </row>
    <row r="426" spans="3:3" ht="15.75" customHeight="1" x14ac:dyDescent="0.25">
      <c r="C426" s="134"/>
    </row>
    <row r="427" spans="3:3" ht="15.75" customHeight="1" x14ac:dyDescent="0.25">
      <c r="C427" s="134"/>
    </row>
    <row r="428" spans="3:3" ht="15.75" customHeight="1" x14ac:dyDescent="0.25">
      <c r="C428" s="134"/>
    </row>
    <row r="429" spans="3:3" ht="15.75" customHeight="1" x14ac:dyDescent="0.25">
      <c r="C429" s="134"/>
    </row>
    <row r="430" spans="3:3" ht="15.75" customHeight="1" x14ac:dyDescent="0.25">
      <c r="C430" s="134"/>
    </row>
    <row r="431" spans="3:3" ht="15.75" customHeight="1" x14ac:dyDescent="0.25">
      <c r="C431" s="134"/>
    </row>
    <row r="432" spans="3:3" ht="15.75" customHeight="1" x14ac:dyDescent="0.25">
      <c r="C432" s="134"/>
    </row>
    <row r="433" spans="3:3" ht="15.75" customHeight="1" x14ac:dyDescent="0.25">
      <c r="C433" s="134"/>
    </row>
    <row r="434" spans="3:3" ht="15.75" customHeight="1" x14ac:dyDescent="0.25">
      <c r="C434" s="134"/>
    </row>
    <row r="435" spans="3:3" ht="15.75" customHeight="1" x14ac:dyDescent="0.25">
      <c r="C435" s="134"/>
    </row>
    <row r="436" spans="3:3" ht="15.75" customHeight="1" x14ac:dyDescent="0.25">
      <c r="C436" s="134"/>
    </row>
    <row r="437" spans="3:3" ht="15.75" customHeight="1" x14ac:dyDescent="0.25">
      <c r="C437" s="134"/>
    </row>
    <row r="438" spans="3:3" ht="15.75" customHeight="1" x14ac:dyDescent="0.25">
      <c r="C438" s="134"/>
    </row>
    <row r="439" spans="3:3" ht="15.75" customHeight="1" x14ac:dyDescent="0.25">
      <c r="C439" s="134"/>
    </row>
    <row r="440" spans="3:3" ht="15.75" customHeight="1" x14ac:dyDescent="0.25">
      <c r="C440" s="134"/>
    </row>
    <row r="441" spans="3:3" ht="15.75" customHeight="1" x14ac:dyDescent="0.25">
      <c r="C441" s="134"/>
    </row>
    <row r="442" spans="3:3" ht="15.75" customHeight="1" x14ac:dyDescent="0.25">
      <c r="C442" s="134"/>
    </row>
    <row r="443" spans="3:3" ht="15.75" customHeight="1" x14ac:dyDescent="0.25">
      <c r="C443" s="134"/>
    </row>
    <row r="444" spans="3:3" ht="15.75" customHeight="1" x14ac:dyDescent="0.25">
      <c r="C444" s="134"/>
    </row>
    <row r="445" spans="3:3" ht="15.75" customHeight="1" x14ac:dyDescent="0.25">
      <c r="C445" s="134"/>
    </row>
    <row r="446" spans="3:3" ht="15.75" customHeight="1" x14ac:dyDescent="0.25">
      <c r="C446" s="134"/>
    </row>
    <row r="447" spans="3:3" ht="15.75" customHeight="1" x14ac:dyDescent="0.25">
      <c r="C447" s="134"/>
    </row>
    <row r="448" spans="3:3" ht="15.75" customHeight="1" x14ac:dyDescent="0.25">
      <c r="C448" s="134"/>
    </row>
    <row r="449" spans="3:3" ht="15.75" customHeight="1" x14ac:dyDescent="0.25">
      <c r="C449" s="134"/>
    </row>
    <row r="450" spans="3:3" ht="15.75" customHeight="1" x14ac:dyDescent="0.25">
      <c r="C450" s="134"/>
    </row>
    <row r="451" spans="3:3" ht="15.75" customHeight="1" x14ac:dyDescent="0.25">
      <c r="C451" s="134"/>
    </row>
    <row r="452" spans="3:3" ht="15.75" customHeight="1" x14ac:dyDescent="0.25">
      <c r="C452" s="134"/>
    </row>
    <row r="453" spans="3:3" ht="15.75" customHeight="1" x14ac:dyDescent="0.25">
      <c r="C453" s="134"/>
    </row>
    <row r="454" spans="3:3" ht="15.75" customHeight="1" x14ac:dyDescent="0.25">
      <c r="C454" s="134"/>
    </row>
    <row r="455" spans="3:3" ht="15.75" customHeight="1" x14ac:dyDescent="0.25">
      <c r="C455" s="134"/>
    </row>
    <row r="456" spans="3:3" ht="15.75" customHeight="1" x14ac:dyDescent="0.25">
      <c r="C456" s="134"/>
    </row>
    <row r="457" spans="3:3" ht="15.75" customHeight="1" x14ac:dyDescent="0.25">
      <c r="C457" s="134"/>
    </row>
    <row r="458" spans="3:3" ht="15.75" customHeight="1" x14ac:dyDescent="0.25">
      <c r="C458" s="134"/>
    </row>
    <row r="459" spans="3:3" ht="15.75" customHeight="1" x14ac:dyDescent="0.25">
      <c r="C459" s="134"/>
    </row>
    <row r="460" spans="3:3" ht="15.75" customHeight="1" x14ac:dyDescent="0.25">
      <c r="C460" s="134"/>
    </row>
    <row r="461" spans="3:3" ht="15.75" customHeight="1" x14ac:dyDescent="0.25">
      <c r="C461" s="134"/>
    </row>
    <row r="462" spans="3:3" ht="15.75" customHeight="1" x14ac:dyDescent="0.25">
      <c r="C462" s="134"/>
    </row>
    <row r="463" spans="3:3" ht="15.75" customHeight="1" x14ac:dyDescent="0.25">
      <c r="C463" s="134"/>
    </row>
    <row r="464" spans="3:3" ht="15.75" customHeight="1" x14ac:dyDescent="0.25">
      <c r="C464" s="134"/>
    </row>
    <row r="465" spans="3:3" ht="15.75" customHeight="1" x14ac:dyDescent="0.25">
      <c r="C465" s="134"/>
    </row>
    <row r="466" spans="3:3" ht="15.75" customHeight="1" x14ac:dyDescent="0.25">
      <c r="C466" s="134"/>
    </row>
    <row r="467" spans="3:3" ht="15.75" customHeight="1" x14ac:dyDescent="0.25">
      <c r="C467" s="134"/>
    </row>
    <row r="468" spans="3:3" ht="15.75" customHeight="1" x14ac:dyDescent="0.25">
      <c r="C468" s="134"/>
    </row>
    <row r="469" spans="3:3" ht="15.75" customHeight="1" x14ac:dyDescent="0.25">
      <c r="C469" s="134"/>
    </row>
    <row r="470" spans="3:3" ht="15.75" customHeight="1" x14ac:dyDescent="0.25">
      <c r="C470" s="134"/>
    </row>
    <row r="471" spans="3:3" ht="15.75" customHeight="1" x14ac:dyDescent="0.25">
      <c r="C471" s="134"/>
    </row>
    <row r="472" spans="3:3" ht="15.75" customHeight="1" x14ac:dyDescent="0.25">
      <c r="C472" s="134"/>
    </row>
    <row r="473" spans="3:3" ht="15.75" customHeight="1" x14ac:dyDescent="0.25">
      <c r="C473" s="134"/>
    </row>
    <row r="474" spans="3:3" ht="15.75" customHeight="1" x14ac:dyDescent="0.25">
      <c r="C474" s="134"/>
    </row>
    <row r="475" spans="3:3" ht="15.75" customHeight="1" x14ac:dyDescent="0.25">
      <c r="C475" s="134"/>
    </row>
    <row r="476" spans="3:3" ht="15.75" customHeight="1" x14ac:dyDescent="0.25">
      <c r="C476" s="134"/>
    </row>
    <row r="477" spans="3:3" ht="15.75" customHeight="1" x14ac:dyDescent="0.25">
      <c r="C477" s="134"/>
    </row>
    <row r="478" spans="3:3" ht="15.75" customHeight="1" x14ac:dyDescent="0.25">
      <c r="C478" s="134"/>
    </row>
    <row r="479" spans="3:3" ht="15.75" customHeight="1" x14ac:dyDescent="0.25">
      <c r="C479" s="134"/>
    </row>
    <row r="480" spans="3:3" ht="15.75" customHeight="1" x14ac:dyDescent="0.25">
      <c r="C480" s="134"/>
    </row>
    <row r="481" spans="3:3" ht="15.75" customHeight="1" x14ac:dyDescent="0.25">
      <c r="C481" s="134"/>
    </row>
    <row r="482" spans="3:3" ht="15.75" customHeight="1" x14ac:dyDescent="0.25">
      <c r="C482" s="134"/>
    </row>
    <row r="483" spans="3:3" ht="15.75" customHeight="1" x14ac:dyDescent="0.25">
      <c r="C483" s="134"/>
    </row>
    <row r="484" spans="3:3" ht="15.75" customHeight="1" x14ac:dyDescent="0.25">
      <c r="C484" s="134"/>
    </row>
    <row r="485" spans="3:3" ht="15.75" customHeight="1" x14ac:dyDescent="0.25">
      <c r="C485" s="134"/>
    </row>
    <row r="486" spans="3:3" ht="15.75" customHeight="1" x14ac:dyDescent="0.25">
      <c r="C486" s="134"/>
    </row>
    <row r="487" spans="3:3" ht="15.75" customHeight="1" x14ac:dyDescent="0.25">
      <c r="C487" s="134"/>
    </row>
    <row r="488" spans="3:3" ht="15.75" customHeight="1" x14ac:dyDescent="0.25">
      <c r="C488" s="134"/>
    </row>
    <row r="489" spans="3:3" ht="15.75" customHeight="1" x14ac:dyDescent="0.25">
      <c r="C489" s="134"/>
    </row>
    <row r="490" spans="3:3" ht="15.75" customHeight="1" x14ac:dyDescent="0.25">
      <c r="C490" s="134"/>
    </row>
    <row r="491" spans="3:3" ht="15.75" customHeight="1" x14ac:dyDescent="0.25">
      <c r="C491" s="134"/>
    </row>
    <row r="492" spans="3:3" ht="15.75" customHeight="1" x14ac:dyDescent="0.25">
      <c r="C492" s="134"/>
    </row>
    <row r="493" spans="3:3" ht="15.75" customHeight="1" x14ac:dyDescent="0.25">
      <c r="C493" s="134"/>
    </row>
    <row r="494" spans="3:3" ht="15.75" customHeight="1" x14ac:dyDescent="0.25">
      <c r="C494" s="134"/>
    </row>
    <row r="495" spans="3:3" ht="15.75" customHeight="1" x14ac:dyDescent="0.25">
      <c r="C495" s="134"/>
    </row>
    <row r="496" spans="3:3" ht="15.75" customHeight="1" x14ac:dyDescent="0.25">
      <c r="C496" s="134"/>
    </row>
    <row r="497" spans="3:3" ht="15.75" customHeight="1" x14ac:dyDescent="0.25">
      <c r="C497" s="134"/>
    </row>
    <row r="498" spans="3:3" ht="15.75" customHeight="1" x14ac:dyDescent="0.25">
      <c r="C498" s="134"/>
    </row>
    <row r="499" spans="3:3" ht="15.75" customHeight="1" x14ac:dyDescent="0.25">
      <c r="C499" s="134"/>
    </row>
    <row r="500" spans="3:3" ht="15.75" customHeight="1" x14ac:dyDescent="0.25">
      <c r="C500" s="134"/>
    </row>
    <row r="501" spans="3:3" ht="15.75" customHeight="1" x14ac:dyDescent="0.25">
      <c r="C501" s="134"/>
    </row>
    <row r="502" spans="3:3" ht="15.75" customHeight="1" x14ac:dyDescent="0.25">
      <c r="C502" s="134"/>
    </row>
    <row r="503" spans="3:3" ht="15.75" customHeight="1" x14ac:dyDescent="0.25">
      <c r="C503" s="134"/>
    </row>
    <row r="504" spans="3:3" ht="15.75" customHeight="1" x14ac:dyDescent="0.25">
      <c r="C504" s="134"/>
    </row>
    <row r="505" spans="3:3" ht="15.75" customHeight="1" x14ac:dyDescent="0.25">
      <c r="C505" s="134"/>
    </row>
    <row r="506" spans="3:3" ht="15.75" customHeight="1" x14ac:dyDescent="0.25">
      <c r="C506" s="134"/>
    </row>
    <row r="507" spans="3:3" ht="15.75" customHeight="1" x14ac:dyDescent="0.25">
      <c r="C507" s="134"/>
    </row>
    <row r="508" spans="3:3" ht="15.75" customHeight="1" x14ac:dyDescent="0.25">
      <c r="C508" s="134"/>
    </row>
    <row r="509" spans="3:3" ht="15.75" customHeight="1" x14ac:dyDescent="0.25">
      <c r="C509" s="134"/>
    </row>
    <row r="510" spans="3:3" ht="15.75" customHeight="1" x14ac:dyDescent="0.25">
      <c r="C510" s="134"/>
    </row>
    <row r="511" spans="3:3" ht="15.75" customHeight="1" x14ac:dyDescent="0.25">
      <c r="C511" s="134"/>
    </row>
    <row r="512" spans="3:3" ht="15.75" customHeight="1" x14ac:dyDescent="0.25">
      <c r="C512" s="134"/>
    </row>
    <row r="513" spans="3:3" ht="15.75" customHeight="1" x14ac:dyDescent="0.25">
      <c r="C513" s="134"/>
    </row>
    <row r="514" spans="3:3" ht="15.75" customHeight="1" x14ac:dyDescent="0.25">
      <c r="C514" s="134"/>
    </row>
    <row r="515" spans="3:3" ht="15.75" customHeight="1" x14ac:dyDescent="0.25">
      <c r="C515" s="134"/>
    </row>
    <row r="516" spans="3:3" ht="15.75" customHeight="1" x14ac:dyDescent="0.25">
      <c r="C516" s="134"/>
    </row>
    <row r="517" spans="3:3" ht="15.75" customHeight="1" x14ac:dyDescent="0.25">
      <c r="C517" s="134"/>
    </row>
    <row r="518" spans="3:3" ht="15.75" customHeight="1" x14ac:dyDescent="0.25">
      <c r="C518" s="134"/>
    </row>
    <row r="519" spans="3:3" ht="15.75" customHeight="1" x14ac:dyDescent="0.25">
      <c r="C519" s="134"/>
    </row>
    <row r="520" spans="3:3" ht="15.75" customHeight="1" x14ac:dyDescent="0.25">
      <c r="C520" s="134"/>
    </row>
    <row r="521" spans="3:3" ht="15.75" customHeight="1" x14ac:dyDescent="0.25">
      <c r="C521" s="134"/>
    </row>
    <row r="522" spans="3:3" ht="15.75" customHeight="1" x14ac:dyDescent="0.25">
      <c r="C522" s="134"/>
    </row>
    <row r="523" spans="3:3" ht="15.75" customHeight="1" x14ac:dyDescent="0.25">
      <c r="C523" s="134"/>
    </row>
    <row r="524" spans="3:3" ht="15.75" customHeight="1" x14ac:dyDescent="0.25">
      <c r="C524" s="134"/>
    </row>
    <row r="525" spans="3:3" ht="15.75" customHeight="1" x14ac:dyDescent="0.25">
      <c r="C525" s="134"/>
    </row>
    <row r="526" spans="3:3" ht="15.75" customHeight="1" x14ac:dyDescent="0.25">
      <c r="C526" s="134"/>
    </row>
    <row r="527" spans="3:3" ht="15.75" customHeight="1" x14ac:dyDescent="0.25">
      <c r="C527" s="134"/>
    </row>
    <row r="528" spans="3:3" ht="15.75" customHeight="1" x14ac:dyDescent="0.25">
      <c r="C528" s="134"/>
    </row>
    <row r="529" spans="3:3" ht="15.75" customHeight="1" x14ac:dyDescent="0.25">
      <c r="C529" s="134"/>
    </row>
    <row r="530" spans="3:3" ht="15.75" customHeight="1" x14ac:dyDescent="0.25">
      <c r="C530" s="134"/>
    </row>
    <row r="531" spans="3:3" ht="15.75" customHeight="1" x14ac:dyDescent="0.25">
      <c r="C531" s="134"/>
    </row>
    <row r="532" spans="3:3" ht="15.75" customHeight="1" x14ac:dyDescent="0.25">
      <c r="C532" s="134"/>
    </row>
    <row r="533" spans="3:3" ht="15.75" customHeight="1" x14ac:dyDescent="0.25">
      <c r="C533" s="134"/>
    </row>
    <row r="534" spans="3:3" ht="15.75" customHeight="1" x14ac:dyDescent="0.25">
      <c r="C534" s="134"/>
    </row>
    <row r="535" spans="3:3" ht="15.75" customHeight="1" x14ac:dyDescent="0.25">
      <c r="C535" s="134"/>
    </row>
    <row r="536" spans="3:3" ht="15.75" customHeight="1" x14ac:dyDescent="0.25">
      <c r="C536" s="134"/>
    </row>
    <row r="537" spans="3:3" ht="15.75" customHeight="1" x14ac:dyDescent="0.25">
      <c r="C537" s="134"/>
    </row>
    <row r="538" spans="3:3" ht="15.75" customHeight="1" x14ac:dyDescent="0.25">
      <c r="C538" s="134"/>
    </row>
    <row r="539" spans="3:3" ht="15.75" customHeight="1" x14ac:dyDescent="0.25">
      <c r="C539" s="134"/>
    </row>
    <row r="540" spans="3:3" ht="15.75" customHeight="1" x14ac:dyDescent="0.25">
      <c r="C540" s="134"/>
    </row>
    <row r="541" spans="3:3" ht="15.75" customHeight="1" x14ac:dyDescent="0.25">
      <c r="C541" s="134"/>
    </row>
    <row r="542" spans="3:3" ht="15.75" customHeight="1" x14ac:dyDescent="0.25">
      <c r="C542" s="134"/>
    </row>
    <row r="543" spans="3:3" ht="15.75" customHeight="1" x14ac:dyDescent="0.25">
      <c r="C543" s="134"/>
    </row>
    <row r="544" spans="3:3" ht="15.75" customHeight="1" x14ac:dyDescent="0.25">
      <c r="C544" s="134"/>
    </row>
    <row r="545" spans="3:3" ht="15.75" customHeight="1" x14ac:dyDescent="0.25">
      <c r="C545" s="134"/>
    </row>
    <row r="546" spans="3:3" ht="15.75" customHeight="1" x14ac:dyDescent="0.25">
      <c r="C546" s="134"/>
    </row>
    <row r="547" spans="3:3" ht="15.75" customHeight="1" x14ac:dyDescent="0.25">
      <c r="C547" s="134"/>
    </row>
    <row r="548" spans="3:3" ht="15.75" customHeight="1" x14ac:dyDescent="0.25">
      <c r="C548" s="134"/>
    </row>
    <row r="549" spans="3:3" ht="15.75" customHeight="1" x14ac:dyDescent="0.25">
      <c r="C549" s="134"/>
    </row>
    <row r="550" spans="3:3" ht="15.75" customHeight="1" x14ac:dyDescent="0.25">
      <c r="C550" s="134"/>
    </row>
    <row r="551" spans="3:3" ht="15.75" customHeight="1" x14ac:dyDescent="0.25">
      <c r="C551" s="134"/>
    </row>
    <row r="552" spans="3:3" ht="15.75" customHeight="1" x14ac:dyDescent="0.25">
      <c r="C552" s="134"/>
    </row>
    <row r="553" spans="3:3" ht="15.75" customHeight="1" x14ac:dyDescent="0.25">
      <c r="C553" s="134"/>
    </row>
    <row r="554" spans="3:3" ht="15.75" customHeight="1" x14ac:dyDescent="0.25">
      <c r="C554" s="134"/>
    </row>
    <row r="555" spans="3:3" ht="15.75" customHeight="1" x14ac:dyDescent="0.25">
      <c r="C555" s="134"/>
    </row>
    <row r="556" spans="3:3" ht="15.75" customHeight="1" x14ac:dyDescent="0.25">
      <c r="C556" s="134"/>
    </row>
    <row r="557" spans="3:3" ht="15.75" customHeight="1" x14ac:dyDescent="0.25">
      <c r="C557" s="134"/>
    </row>
    <row r="558" spans="3:3" ht="15.75" customHeight="1" x14ac:dyDescent="0.25">
      <c r="C558" s="134"/>
    </row>
    <row r="559" spans="3:3" ht="15.75" customHeight="1" x14ac:dyDescent="0.25">
      <c r="C559" s="134"/>
    </row>
    <row r="560" spans="3:3" ht="15.75" customHeight="1" x14ac:dyDescent="0.25">
      <c r="C560" s="134"/>
    </row>
    <row r="561" spans="3:3" ht="15.75" customHeight="1" x14ac:dyDescent="0.25">
      <c r="C561" s="134"/>
    </row>
    <row r="562" spans="3:3" ht="15.75" customHeight="1" x14ac:dyDescent="0.25">
      <c r="C562" s="134"/>
    </row>
    <row r="563" spans="3:3" ht="15.75" customHeight="1" x14ac:dyDescent="0.25">
      <c r="C563" s="134"/>
    </row>
    <row r="564" spans="3:3" ht="15.75" customHeight="1" x14ac:dyDescent="0.25">
      <c r="C564" s="134"/>
    </row>
    <row r="565" spans="3:3" ht="15.75" customHeight="1" x14ac:dyDescent="0.25">
      <c r="C565" s="134"/>
    </row>
    <row r="566" spans="3:3" ht="15.75" customHeight="1" x14ac:dyDescent="0.25">
      <c r="C566" s="134"/>
    </row>
    <row r="567" spans="3:3" ht="15.75" customHeight="1" x14ac:dyDescent="0.25">
      <c r="C567" s="134"/>
    </row>
    <row r="568" spans="3:3" ht="15.75" customHeight="1" x14ac:dyDescent="0.25">
      <c r="C568" s="134"/>
    </row>
    <row r="569" spans="3:3" ht="15.75" customHeight="1" x14ac:dyDescent="0.25">
      <c r="C569" s="134"/>
    </row>
    <row r="570" spans="3:3" ht="15.75" customHeight="1" x14ac:dyDescent="0.25">
      <c r="C570" s="134"/>
    </row>
    <row r="571" spans="3:3" ht="15.75" customHeight="1" x14ac:dyDescent="0.25">
      <c r="C571" s="134"/>
    </row>
    <row r="572" spans="3:3" ht="15.75" customHeight="1" x14ac:dyDescent="0.25">
      <c r="C572" s="134"/>
    </row>
    <row r="573" spans="3:3" ht="15.75" customHeight="1" x14ac:dyDescent="0.25">
      <c r="C573" s="134"/>
    </row>
    <row r="574" spans="3:3" ht="15.75" customHeight="1" x14ac:dyDescent="0.25">
      <c r="C574" s="134"/>
    </row>
    <row r="575" spans="3:3" ht="15.75" customHeight="1" x14ac:dyDescent="0.25">
      <c r="C575" s="134"/>
    </row>
    <row r="576" spans="3:3" ht="15.75" customHeight="1" x14ac:dyDescent="0.25">
      <c r="C576" s="134"/>
    </row>
    <row r="577" spans="3:3" ht="15.75" customHeight="1" x14ac:dyDescent="0.25">
      <c r="C577" s="134"/>
    </row>
    <row r="578" spans="3:3" ht="15.75" customHeight="1" x14ac:dyDescent="0.25">
      <c r="C578" s="134"/>
    </row>
    <row r="579" spans="3:3" ht="15.75" customHeight="1" x14ac:dyDescent="0.25">
      <c r="C579" s="134"/>
    </row>
    <row r="580" spans="3:3" ht="15.75" customHeight="1" x14ac:dyDescent="0.25">
      <c r="C580" s="134"/>
    </row>
    <row r="581" spans="3:3" ht="15.75" customHeight="1" x14ac:dyDescent="0.25">
      <c r="C581" s="134"/>
    </row>
    <row r="582" spans="3:3" ht="15.75" customHeight="1" x14ac:dyDescent="0.25">
      <c r="C582" s="134"/>
    </row>
    <row r="583" spans="3:3" ht="15.75" customHeight="1" x14ac:dyDescent="0.25">
      <c r="C583" s="134"/>
    </row>
    <row r="584" spans="3:3" ht="15.75" customHeight="1" x14ac:dyDescent="0.25">
      <c r="C584" s="134"/>
    </row>
    <row r="585" spans="3:3" ht="15.75" customHeight="1" x14ac:dyDescent="0.25">
      <c r="C585" s="134"/>
    </row>
    <row r="586" spans="3:3" ht="15.75" customHeight="1" x14ac:dyDescent="0.25">
      <c r="C586" s="134"/>
    </row>
    <row r="587" spans="3:3" ht="15.75" customHeight="1" x14ac:dyDescent="0.25">
      <c r="C587" s="134"/>
    </row>
    <row r="588" spans="3:3" ht="15.75" customHeight="1" x14ac:dyDescent="0.25">
      <c r="C588" s="134"/>
    </row>
    <row r="589" spans="3:3" ht="15.75" customHeight="1" x14ac:dyDescent="0.25">
      <c r="C589" s="134"/>
    </row>
    <row r="590" spans="3:3" ht="15.75" customHeight="1" x14ac:dyDescent="0.25">
      <c r="C590" s="134"/>
    </row>
    <row r="591" spans="3:3" ht="15.75" customHeight="1" x14ac:dyDescent="0.25">
      <c r="C591" s="134"/>
    </row>
    <row r="592" spans="3:3" ht="15.75" customHeight="1" x14ac:dyDescent="0.25">
      <c r="C592" s="134"/>
    </row>
    <row r="593" spans="3:3" ht="15.75" customHeight="1" x14ac:dyDescent="0.25">
      <c r="C593" s="134"/>
    </row>
    <row r="594" spans="3:3" ht="15.75" customHeight="1" x14ac:dyDescent="0.25">
      <c r="C594" s="134"/>
    </row>
    <row r="595" spans="3:3" ht="15.75" customHeight="1" x14ac:dyDescent="0.25">
      <c r="C595" s="134"/>
    </row>
    <row r="596" spans="3:3" ht="15.75" customHeight="1" x14ac:dyDescent="0.25">
      <c r="C596" s="134"/>
    </row>
    <row r="597" spans="3:3" ht="15.75" customHeight="1" x14ac:dyDescent="0.25">
      <c r="C597" s="134"/>
    </row>
    <row r="598" spans="3:3" ht="15.75" customHeight="1" x14ac:dyDescent="0.25">
      <c r="C598" s="134"/>
    </row>
    <row r="599" spans="3:3" ht="15.75" customHeight="1" x14ac:dyDescent="0.25">
      <c r="C599" s="134"/>
    </row>
    <row r="600" spans="3:3" ht="15.75" customHeight="1" x14ac:dyDescent="0.25">
      <c r="C600" s="134"/>
    </row>
    <row r="601" spans="3:3" ht="15.75" customHeight="1" x14ac:dyDescent="0.25">
      <c r="C601" s="134"/>
    </row>
    <row r="602" spans="3:3" ht="15.75" customHeight="1" x14ac:dyDescent="0.25">
      <c r="C602" s="134"/>
    </row>
    <row r="603" spans="3:3" ht="15.75" customHeight="1" x14ac:dyDescent="0.25">
      <c r="C603" s="134"/>
    </row>
    <row r="604" spans="3:3" ht="15.75" customHeight="1" x14ac:dyDescent="0.25">
      <c r="C604" s="134"/>
    </row>
    <row r="605" spans="3:3" ht="15.75" customHeight="1" x14ac:dyDescent="0.25">
      <c r="C605" s="134"/>
    </row>
    <row r="606" spans="3:3" ht="15.75" customHeight="1" x14ac:dyDescent="0.25">
      <c r="C606" s="134"/>
    </row>
    <row r="607" spans="3:3" ht="15.75" customHeight="1" x14ac:dyDescent="0.25">
      <c r="C607" s="134"/>
    </row>
    <row r="608" spans="3:3" ht="15.75" customHeight="1" x14ac:dyDescent="0.25">
      <c r="C608" s="134"/>
    </row>
    <row r="609" spans="3:3" ht="15.75" customHeight="1" x14ac:dyDescent="0.25">
      <c r="C609" s="134"/>
    </row>
    <row r="610" spans="3:3" ht="15.75" customHeight="1" x14ac:dyDescent="0.25">
      <c r="C610" s="134"/>
    </row>
    <row r="611" spans="3:3" ht="15.75" customHeight="1" x14ac:dyDescent="0.25">
      <c r="C611" s="134"/>
    </row>
    <row r="612" spans="3:3" ht="15.75" customHeight="1" x14ac:dyDescent="0.25">
      <c r="C612" s="134"/>
    </row>
    <row r="613" spans="3:3" ht="15.75" customHeight="1" x14ac:dyDescent="0.25">
      <c r="C613" s="134"/>
    </row>
    <row r="614" spans="3:3" ht="15.75" customHeight="1" x14ac:dyDescent="0.25">
      <c r="C614" s="134"/>
    </row>
    <row r="615" spans="3:3" ht="15.75" customHeight="1" x14ac:dyDescent="0.25">
      <c r="C615" s="134"/>
    </row>
    <row r="616" spans="3:3" ht="15.75" customHeight="1" x14ac:dyDescent="0.25">
      <c r="C616" s="134"/>
    </row>
    <row r="617" spans="3:3" ht="15.75" customHeight="1" x14ac:dyDescent="0.25">
      <c r="C617" s="134"/>
    </row>
    <row r="618" spans="3:3" ht="15.75" customHeight="1" x14ac:dyDescent="0.25">
      <c r="C618" s="134"/>
    </row>
    <row r="619" spans="3:3" ht="15.75" customHeight="1" x14ac:dyDescent="0.25">
      <c r="C619" s="134"/>
    </row>
    <row r="620" spans="3:3" ht="15.75" customHeight="1" x14ac:dyDescent="0.25">
      <c r="C620" s="134"/>
    </row>
    <row r="621" spans="3:3" ht="15.75" customHeight="1" x14ac:dyDescent="0.25">
      <c r="C621" s="134"/>
    </row>
    <row r="622" spans="3:3" ht="15.75" customHeight="1" x14ac:dyDescent="0.25">
      <c r="C622" s="134"/>
    </row>
    <row r="623" spans="3:3" ht="15.75" customHeight="1" x14ac:dyDescent="0.25">
      <c r="C623" s="134"/>
    </row>
    <row r="624" spans="3:3" ht="15.75" customHeight="1" x14ac:dyDescent="0.25">
      <c r="C624" s="134"/>
    </row>
    <row r="625" spans="3:3" ht="15.75" customHeight="1" x14ac:dyDescent="0.25">
      <c r="C625" s="134"/>
    </row>
    <row r="626" spans="3:3" ht="15.75" customHeight="1" x14ac:dyDescent="0.25">
      <c r="C626" s="134"/>
    </row>
    <row r="627" spans="3:3" ht="15.75" customHeight="1" x14ac:dyDescent="0.25">
      <c r="C627" s="134"/>
    </row>
    <row r="628" spans="3:3" ht="15.75" customHeight="1" x14ac:dyDescent="0.25">
      <c r="C628" s="134"/>
    </row>
    <row r="629" spans="3:3" ht="15.75" customHeight="1" x14ac:dyDescent="0.25">
      <c r="C629" s="134"/>
    </row>
    <row r="630" spans="3:3" ht="15.75" customHeight="1" x14ac:dyDescent="0.25">
      <c r="C630" s="134"/>
    </row>
    <row r="631" spans="3:3" ht="15.75" customHeight="1" x14ac:dyDescent="0.25">
      <c r="C631" s="134"/>
    </row>
    <row r="632" spans="3:3" ht="15.75" customHeight="1" x14ac:dyDescent="0.25">
      <c r="C632" s="134"/>
    </row>
    <row r="633" spans="3:3" ht="15.75" customHeight="1" x14ac:dyDescent="0.25">
      <c r="C633" s="134"/>
    </row>
    <row r="634" spans="3:3" ht="15.75" customHeight="1" x14ac:dyDescent="0.25">
      <c r="C634" s="134"/>
    </row>
    <row r="635" spans="3:3" ht="15.75" customHeight="1" x14ac:dyDescent="0.25">
      <c r="C635" s="134"/>
    </row>
    <row r="636" spans="3:3" ht="15.75" customHeight="1" x14ac:dyDescent="0.25">
      <c r="C636" s="134"/>
    </row>
    <row r="637" spans="3:3" ht="15.75" customHeight="1" x14ac:dyDescent="0.25">
      <c r="C637" s="134"/>
    </row>
    <row r="638" spans="3:3" ht="15.75" customHeight="1" x14ac:dyDescent="0.25">
      <c r="C638" s="134"/>
    </row>
    <row r="639" spans="3:3" ht="15.75" customHeight="1" x14ac:dyDescent="0.25">
      <c r="C639" s="134"/>
    </row>
    <row r="640" spans="3:3" ht="15.75" customHeight="1" x14ac:dyDescent="0.25">
      <c r="C640" s="134"/>
    </row>
    <row r="641" spans="3:3" ht="15.75" customHeight="1" x14ac:dyDescent="0.25">
      <c r="C641" s="134"/>
    </row>
    <row r="642" spans="3:3" ht="15.75" customHeight="1" x14ac:dyDescent="0.25">
      <c r="C642" s="134"/>
    </row>
    <row r="643" spans="3:3" ht="15.75" customHeight="1" x14ac:dyDescent="0.25">
      <c r="C643" s="134"/>
    </row>
    <row r="644" spans="3:3" ht="15.75" customHeight="1" x14ac:dyDescent="0.25">
      <c r="C644" s="134"/>
    </row>
    <row r="645" spans="3:3" ht="15.75" customHeight="1" x14ac:dyDescent="0.25">
      <c r="C645" s="134"/>
    </row>
    <row r="646" spans="3:3" ht="15.75" customHeight="1" x14ac:dyDescent="0.25">
      <c r="C646" s="134"/>
    </row>
    <row r="647" spans="3:3" ht="15.75" customHeight="1" x14ac:dyDescent="0.25">
      <c r="C647" s="134"/>
    </row>
    <row r="648" spans="3:3" ht="15.75" customHeight="1" x14ac:dyDescent="0.25">
      <c r="C648" s="134"/>
    </row>
    <row r="649" spans="3:3" ht="15.75" customHeight="1" x14ac:dyDescent="0.25">
      <c r="C649" s="134"/>
    </row>
    <row r="650" spans="3:3" ht="15.75" customHeight="1" x14ac:dyDescent="0.25">
      <c r="C650" s="134"/>
    </row>
    <row r="651" spans="3:3" ht="15.75" customHeight="1" x14ac:dyDescent="0.25">
      <c r="C651" s="134"/>
    </row>
    <row r="652" spans="3:3" ht="15.75" customHeight="1" x14ac:dyDescent="0.25">
      <c r="C652" s="134"/>
    </row>
    <row r="653" spans="3:3" ht="15.75" customHeight="1" x14ac:dyDescent="0.25">
      <c r="C653" s="134"/>
    </row>
    <row r="654" spans="3:3" ht="15.75" customHeight="1" x14ac:dyDescent="0.25">
      <c r="C654" s="134"/>
    </row>
    <row r="655" spans="3:3" ht="15.75" customHeight="1" x14ac:dyDescent="0.25">
      <c r="C655" s="134"/>
    </row>
    <row r="656" spans="3:3" ht="15.75" customHeight="1" x14ac:dyDescent="0.25">
      <c r="C656" s="134"/>
    </row>
    <row r="657" spans="3:3" ht="15.75" customHeight="1" x14ac:dyDescent="0.25">
      <c r="C657" s="134"/>
    </row>
    <row r="658" spans="3:3" ht="15.75" customHeight="1" x14ac:dyDescent="0.25">
      <c r="C658" s="134"/>
    </row>
    <row r="659" spans="3:3" ht="15.75" customHeight="1" x14ac:dyDescent="0.25">
      <c r="C659" s="134"/>
    </row>
    <row r="660" spans="3:3" ht="15.75" customHeight="1" x14ac:dyDescent="0.25">
      <c r="C660" s="134"/>
    </row>
    <row r="661" spans="3:3" ht="15.75" customHeight="1" x14ac:dyDescent="0.25">
      <c r="C661" s="134"/>
    </row>
    <row r="662" spans="3:3" ht="15.75" customHeight="1" x14ac:dyDescent="0.25">
      <c r="C662" s="134"/>
    </row>
    <row r="663" spans="3:3" ht="15.75" customHeight="1" x14ac:dyDescent="0.25">
      <c r="C663" s="134"/>
    </row>
    <row r="664" spans="3:3" ht="15.75" customHeight="1" x14ac:dyDescent="0.25">
      <c r="C664" s="134"/>
    </row>
    <row r="665" spans="3:3" ht="15.75" customHeight="1" x14ac:dyDescent="0.25">
      <c r="C665" s="134"/>
    </row>
    <row r="666" spans="3:3" ht="15.75" customHeight="1" x14ac:dyDescent="0.25">
      <c r="C666" s="134"/>
    </row>
    <row r="667" spans="3:3" ht="15.75" customHeight="1" x14ac:dyDescent="0.25">
      <c r="C667" s="134"/>
    </row>
    <row r="668" spans="3:3" ht="15.75" customHeight="1" x14ac:dyDescent="0.25">
      <c r="C668" s="134"/>
    </row>
    <row r="669" spans="3:3" ht="15.75" customHeight="1" x14ac:dyDescent="0.25">
      <c r="C669" s="134"/>
    </row>
    <row r="670" spans="3:3" ht="15.75" customHeight="1" x14ac:dyDescent="0.25">
      <c r="C670" s="134"/>
    </row>
    <row r="671" spans="3:3" ht="15.75" customHeight="1" x14ac:dyDescent="0.25">
      <c r="C671" s="134"/>
    </row>
    <row r="672" spans="3:3" ht="15.75" customHeight="1" x14ac:dyDescent="0.25">
      <c r="C672" s="134"/>
    </row>
    <row r="673" spans="3:3" ht="15.75" customHeight="1" x14ac:dyDescent="0.25">
      <c r="C673" s="134"/>
    </row>
    <row r="674" spans="3:3" ht="15.75" customHeight="1" x14ac:dyDescent="0.25">
      <c r="C674" s="134"/>
    </row>
    <row r="675" spans="3:3" ht="15.75" customHeight="1" x14ac:dyDescent="0.25">
      <c r="C675" s="134"/>
    </row>
    <row r="676" spans="3:3" ht="15.75" customHeight="1" x14ac:dyDescent="0.25">
      <c r="C676" s="134"/>
    </row>
    <row r="677" spans="3:3" ht="15.75" customHeight="1" x14ac:dyDescent="0.25">
      <c r="C677" s="134"/>
    </row>
    <row r="678" spans="3:3" ht="15.75" customHeight="1" x14ac:dyDescent="0.25">
      <c r="C678" s="134"/>
    </row>
    <row r="679" spans="3:3" ht="15.75" customHeight="1" x14ac:dyDescent="0.25">
      <c r="C679" s="134"/>
    </row>
    <row r="680" spans="3:3" ht="15.75" customHeight="1" x14ac:dyDescent="0.25">
      <c r="C680" s="134"/>
    </row>
    <row r="681" spans="3:3" ht="15.75" customHeight="1" x14ac:dyDescent="0.25">
      <c r="C681" s="134"/>
    </row>
    <row r="682" spans="3:3" ht="15.75" customHeight="1" x14ac:dyDescent="0.25">
      <c r="C682" s="134"/>
    </row>
    <row r="683" spans="3:3" ht="15.75" customHeight="1" x14ac:dyDescent="0.25">
      <c r="C683" s="134"/>
    </row>
    <row r="684" spans="3:3" ht="15.75" customHeight="1" x14ac:dyDescent="0.25">
      <c r="C684" s="134"/>
    </row>
    <row r="685" spans="3:3" ht="15.75" customHeight="1" x14ac:dyDescent="0.25">
      <c r="C685" s="134"/>
    </row>
    <row r="686" spans="3:3" ht="15.75" customHeight="1" x14ac:dyDescent="0.25">
      <c r="C686" s="134"/>
    </row>
    <row r="687" spans="3:3" ht="15.75" customHeight="1" x14ac:dyDescent="0.25">
      <c r="C687" s="134"/>
    </row>
    <row r="688" spans="3:3" ht="15.75" customHeight="1" x14ac:dyDescent="0.25">
      <c r="C688" s="134"/>
    </row>
    <row r="689" spans="3:3" ht="15.75" customHeight="1" x14ac:dyDescent="0.25">
      <c r="C689" s="134"/>
    </row>
    <row r="690" spans="3:3" ht="15.75" customHeight="1" x14ac:dyDescent="0.25">
      <c r="C690" s="134"/>
    </row>
    <row r="691" spans="3:3" ht="15.75" customHeight="1" x14ac:dyDescent="0.25">
      <c r="C691" s="134"/>
    </row>
    <row r="692" spans="3:3" ht="15.75" customHeight="1" x14ac:dyDescent="0.25">
      <c r="C692" s="134"/>
    </row>
    <row r="693" spans="3:3" ht="15.75" customHeight="1" x14ac:dyDescent="0.25">
      <c r="C693" s="134"/>
    </row>
    <row r="694" spans="3:3" ht="15.75" customHeight="1" x14ac:dyDescent="0.25">
      <c r="C694" s="134"/>
    </row>
    <row r="695" spans="3:3" ht="15.75" customHeight="1" x14ac:dyDescent="0.25">
      <c r="C695" s="134"/>
    </row>
    <row r="696" spans="3:3" ht="15.75" customHeight="1" x14ac:dyDescent="0.25">
      <c r="C696" s="134"/>
    </row>
    <row r="697" spans="3:3" ht="15.75" customHeight="1" x14ac:dyDescent="0.25">
      <c r="C697" s="134"/>
    </row>
    <row r="698" spans="3:3" ht="15.75" customHeight="1" x14ac:dyDescent="0.25">
      <c r="C698" s="134"/>
    </row>
    <row r="699" spans="3:3" ht="15.75" customHeight="1" x14ac:dyDescent="0.25">
      <c r="C699" s="134"/>
    </row>
    <row r="700" spans="3:3" ht="15.75" customHeight="1" x14ac:dyDescent="0.25">
      <c r="C700" s="134"/>
    </row>
    <row r="701" spans="3:3" ht="15.75" customHeight="1" x14ac:dyDescent="0.25">
      <c r="C701" s="134"/>
    </row>
    <row r="702" spans="3:3" ht="15.75" customHeight="1" x14ac:dyDescent="0.25">
      <c r="C702" s="134"/>
    </row>
    <row r="703" spans="3:3" ht="15.75" customHeight="1" x14ac:dyDescent="0.25">
      <c r="C703" s="134"/>
    </row>
    <row r="704" spans="3:3" ht="15.75" customHeight="1" x14ac:dyDescent="0.25">
      <c r="C704" s="134"/>
    </row>
    <row r="705" spans="3:3" ht="15.75" customHeight="1" x14ac:dyDescent="0.25">
      <c r="C705" s="134"/>
    </row>
    <row r="706" spans="3:3" ht="15.75" customHeight="1" x14ac:dyDescent="0.25">
      <c r="C706" s="134"/>
    </row>
    <row r="707" spans="3:3" ht="15.75" customHeight="1" x14ac:dyDescent="0.25">
      <c r="C707" s="134"/>
    </row>
    <row r="708" spans="3:3" ht="15.75" customHeight="1" x14ac:dyDescent="0.25">
      <c r="C708" s="134"/>
    </row>
    <row r="709" spans="3:3" ht="15.75" customHeight="1" x14ac:dyDescent="0.25">
      <c r="C709" s="134"/>
    </row>
    <row r="710" spans="3:3" ht="15.75" customHeight="1" x14ac:dyDescent="0.25">
      <c r="C710" s="134"/>
    </row>
    <row r="711" spans="3:3" ht="15.75" customHeight="1" x14ac:dyDescent="0.25">
      <c r="C711" s="134"/>
    </row>
    <row r="712" spans="3:3" ht="15.75" customHeight="1" x14ac:dyDescent="0.25">
      <c r="C712" s="134"/>
    </row>
    <row r="713" spans="3:3" ht="15.75" customHeight="1" x14ac:dyDescent="0.25">
      <c r="C713" s="134"/>
    </row>
    <row r="714" spans="3:3" ht="15.75" customHeight="1" x14ac:dyDescent="0.25">
      <c r="C714" s="134"/>
    </row>
    <row r="715" spans="3:3" ht="15.75" customHeight="1" x14ac:dyDescent="0.25">
      <c r="C715" s="134"/>
    </row>
    <row r="716" spans="3:3" ht="15.75" customHeight="1" x14ac:dyDescent="0.25">
      <c r="C716" s="134"/>
    </row>
    <row r="717" spans="3:3" ht="15.75" customHeight="1" x14ac:dyDescent="0.25">
      <c r="C717" s="134"/>
    </row>
    <row r="718" spans="3:3" ht="15.75" customHeight="1" x14ac:dyDescent="0.25">
      <c r="C718" s="134"/>
    </row>
    <row r="719" spans="3:3" ht="15.75" customHeight="1" x14ac:dyDescent="0.25">
      <c r="C719" s="134"/>
    </row>
    <row r="720" spans="3:3" ht="15.75" customHeight="1" x14ac:dyDescent="0.25">
      <c r="C720" s="134"/>
    </row>
    <row r="721" spans="3:3" ht="15.75" customHeight="1" x14ac:dyDescent="0.25">
      <c r="C721" s="134"/>
    </row>
    <row r="722" spans="3:3" ht="15.75" customHeight="1" x14ac:dyDescent="0.25">
      <c r="C722" s="134"/>
    </row>
    <row r="723" spans="3:3" ht="15.75" customHeight="1" x14ac:dyDescent="0.25">
      <c r="C723" s="134"/>
    </row>
    <row r="724" spans="3:3" ht="15.75" customHeight="1" x14ac:dyDescent="0.25">
      <c r="C724" s="134"/>
    </row>
    <row r="725" spans="3:3" ht="15.75" customHeight="1" x14ac:dyDescent="0.25">
      <c r="C725" s="134"/>
    </row>
    <row r="726" spans="3:3" ht="15.75" customHeight="1" x14ac:dyDescent="0.25">
      <c r="C726" s="134"/>
    </row>
    <row r="727" spans="3:3" ht="15.75" customHeight="1" x14ac:dyDescent="0.25">
      <c r="C727" s="134"/>
    </row>
    <row r="728" spans="3:3" ht="15.75" customHeight="1" x14ac:dyDescent="0.25">
      <c r="C728" s="134"/>
    </row>
    <row r="729" spans="3:3" ht="15.75" customHeight="1" x14ac:dyDescent="0.25">
      <c r="C729" s="134"/>
    </row>
    <row r="730" spans="3:3" ht="15.75" customHeight="1" x14ac:dyDescent="0.25">
      <c r="C730" s="134"/>
    </row>
    <row r="731" spans="3:3" ht="15.75" customHeight="1" x14ac:dyDescent="0.25">
      <c r="C731" s="134"/>
    </row>
    <row r="732" spans="3:3" ht="15.75" customHeight="1" x14ac:dyDescent="0.25">
      <c r="C732" s="134"/>
    </row>
    <row r="733" spans="3:3" ht="15.75" customHeight="1" x14ac:dyDescent="0.25">
      <c r="C733" s="134"/>
    </row>
    <row r="734" spans="3:3" ht="15.75" customHeight="1" x14ac:dyDescent="0.25">
      <c r="C734" s="134"/>
    </row>
    <row r="735" spans="3:3" ht="15.75" customHeight="1" x14ac:dyDescent="0.25">
      <c r="C735" s="134"/>
    </row>
    <row r="736" spans="3:3" ht="15.75" customHeight="1" x14ac:dyDescent="0.25">
      <c r="C736" s="134"/>
    </row>
    <row r="737" spans="3:3" ht="15.75" customHeight="1" x14ac:dyDescent="0.25">
      <c r="C737" s="134"/>
    </row>
    <row r="738" spans="3:3" ht="15.75" customHeight="1" x14ac:dyDescent="0.25">
      <c r="C738" s="134"/>
    </row>
    <row r="739" spans="3:3" ht="15.75" customHeight="1" x14ac:dyDescent="0.25">
      <c r="C739" s="134"/>
    </row>
    <row r="740" spans="3:3" ht="15.75" customHeight="1" x14ac:dyDescent="0.25">
      <c r="C740" s="134"/>
    </row>
    <row r="741" spans="3:3" ht="15.75" customHeight="1" x14ac:dyDescent="0.25">
      <c r="C741" s="134"/>
    </row>
    <row r="742" spans="3:3" ht="15.75" customHeight="1" x14ac:dyDescent="0.25">
      <c r="C742" s="134"/>
    </row>
    <row r="743" spans="3:3" ht="15.75" customHeight="1" x14ac:dyDescent="0.25">
      <c r="C743" s="134"/>
    </row>
    <row r="744" spans="3:3" ht="15.75" customHeight="1" x14ac:dyDescent="0.25">
      <c r="C744" s="134"/>
    </row>
    <row r="745" spans="3:3" ht="15.75" customHeight="1" x14ac:dyDescent="0.25">
      <c r="C745" s="134"/>
    </row>
    <row r="746" spans="3:3" ht="15.75" customHeight="1" x14ac:dyDescent="0.25">
      <c r="C746" s="134"/>
    </row>
    <row r="747" spans="3:3" ht="15.75" customHeight="1" x14ac:dyDescent="0.25">
      <c r="C747" s="134"/>
    </row>
    <row r="748" spans="3:3" ht="15.75" customHeight="1" x14ac:dyDescent="0.25">
      <c r="C748" s="134"/>
    </row>
    <row r="749" spans="3:3" ht="15.75" customHeight="1" x14ac:dyDescent="0.25">
      <c r="C749" s="134"/>
    </row>
    <row r="750" spans="3:3" ht="15.75" customHeight="1" x14ac:dyDescent="0.25">
      <c r="C750" s="134"/>
    </row>
    <row r="751" spans="3:3" ht="15.75" customHeight="1" x14ac:dyDescent="0.25">
      <c r="C751" s="134"/>
    </row>
    <row r="752" spans="3:3" ht="15.75" customHeight="1" x14ac:dyDescent="0.25">
      <c r="C752" s="134"/>
    </row>
    <row r="753" spans="3:3" ht="15.75" customHeight="1" x14ac:dyDescent="0.25">
      <c r="C753" s="134"/>
    </row>
    <row r="754" spans="3:3" ht="15.75" customHeight="1" x14ac:dyDescent="0.25">
      <c r="C754" s="134"/>
    </row>
    <row r="755" spans="3:3" ht="15.75" customHeight="1" x14ac:dyDescent="0.25">
      <c r="C755" s="134"/>
    </row>
    <row r="756" spans="3:3" ht="15.75" customHeight="1" x14ac:dyDescent="0.25">
      <c r="C756" s="134"/>
    </row>
    <row r="757" spans="3:3" ht="15.75" customHeight="1" x14ac:dyDescent="0.25">
      <c r="C757" s="134"/>
    </row>
    <row r="758" spans="3:3" ht="15.75" customHeight="1" x14ac:dyDescent="0.25">
      <c r="C758" s="134"/>
    </row>
    <row r="759" spans="3:3" ht="15.75" customHeight="1" x14ac:dyDescent="0.25">
      <c r="C759" s="134"/>
    </row>
    <row r="760" spans="3:3" ht="15.75" customHeight="1" x14ac:dyDescent="0.25">
      <c r="C760" s="134"/>
    </row>
    <row r="761" spans="3:3" ht="15.75" customHeight="1" x14ac:dyDescent="0.25">
      <c r="C761" s="134"/>
    </row>
    <row r="762" spans="3:3" ht="15.75" customHeight="1" x14ac:dyDescent="0.25">
      <c r="C762" s="134"/>
    </row>
    <row r="763" spans="3:3" ht="15.75" customHeight="1" x14ac:dyDescent="0.25">
      <c r="C763" s="134"/>
    </row>
    <row r="764" spans="3:3" ht="15.75" customHeight="1" x14ac:dyDescent="0.25">
      <c r="C764" s="134"/>
    </row>
    <row r="765" spans="3:3" ht="15.75" customHeight="1" x14ac:dyDescent="0.25">
      <c r="C765" s="134"/>
    </row>
    <row r="766" spans="3:3" ht="15.75" customHeight="1" x14ac:dyDescent="0.25">
      <c r="C766" s="134"/>
    </row>
    <row r="767" spans="3:3" ht="15.75" customHeight="1" x14ac:dyDescent="0.25">
      <c r="C767" s="134"/>
    </row>
    <row r="768" spans="3:3" ht="15.75" customHeight="1" x14ac:dyDescent="0.25">
      <c r="C768" s="134"/>
    </row>
    <row r="769" spans="3:3" ht="15.75" customHeight="1" x14ac:dyDescent="0.25">
      <c r="C769" s="134"/>
    </row>
    <row r="770" spans="3:3" ht="15.75" customHeight="1" x14ac:dyDescent="0.25">
      <c r="C770" s="134"/>
    </row>
    <row r="771" spans="3:3" ht="15.75" customHeight="1" x14ac:dyDescent="0.25">
      <c r="C771" s="134"/>
    </row>
    <row r="772" spans="3:3" ht="15.75" customHeight="1" x14ac:dyDescent="0.25">
      <c r="C772" s="134"/>
    </row>
    <row r="773" spans="3:3" ht="15.75" customHeight="1" x14ac:dyDescent="0.25">
      <c r="C773" s="134"/>
    </row>
    <row r="774" spans="3:3" ht="15.75" customHeight="1" x14ac:dyDescent="0.25">
      <c r="C774" s="134"/>
    </row>
    <row r="775" spans="3:3" ht="15.75" customHeight="1" x14ac:dyDescent="0.25">
      <c r="C775" s="134"/>
    </row>
    <row r="776" spans="3:3" ht="15.75" customHeight="1" x14ac:dyDescent="0.25">
      <c r="C776" s="134"/>
    </row>
    <row r="777" spans="3:3" ht="15.75" customHeight="1" x14ac:dyDescent="0.25">
      <c r="C777" s="134"/>
    </row>
    <row r="778" spans="3:3" ht="15.75" customHeight="1" x14ac:dyDescent="0.25">
      <c r="C778" s="134"/>
    </row>
    <row r="779" spans="3:3" ht="15.75" customHeight="1" x14ac:dyDescent="0.25">
      <c r="C779" s="134"/>
    </row>
    <row r="780" spans="3:3" ht="15.75" customHeight="1" x14ac:dyDescent="0.25">
      <c r="C780" s="134"/>
    </row>
    <row r="781" spans="3:3" ht="15.75" customHeight="1" x14ac:dyDescent="0.25">
      <c r="C781" s="134"/>
    </row>
    <row r="782" spans="3:3" ht="15.75" customHeight="1" x14ac:dyDescent="0.25">
      <c r="C782" s="134"/>
    </row>
    <row r="783" spans="3:3" ht="15.75" customHeight="1" x14ac:dyDescent="0.25">
      <c r="C783" s="134"/>
    </row>
    <row r="784" spans="3:3" ht="15.75" customHeight="1" x14ac:dyDescent="0.25">
      <c r="C784" s="134"/>
    </row>
    <row r="785" spans="3:3" ht="15.75" customHeight="1" x14ac:dyDescent="0.25">
      <c r="C785" s="134"/>
    </row>
    <row r="786" spans="3:3" ht="15.75" customHeight="1" x14ac:dyDescent="0.25">
      <c r="C786" s="134"/>
    </row>
    <row r="787" spans="3:3" ht="15.75" customHeight="1" x14ac:dyDescent="0.25">
      <c r="C787" s="134"/>
    </row>
    <row r="788" spans="3:3" ht="15.75" customHeight="1" x14ac:dyDescent="0.25">
      <c r="C788" s="134"/>
    </row>
    <row r="789" spans="3:3" ht="15.75" customHeight="1" x14ac:dyDescent="0.25">
      <c r="C789" s="134"/>
    </row>
    <row r="790" spans="3:3" ht="15.75" customHeight="1" x14ac:dyDescent="0.25">
      <c r="C790" s="134"/>
    </row>
    <row r="791" spans="3:3" ht="15.75" customHeight="1" x14ac:dyDescent="0.25">
      <c r="C791" s="134"/>
    </row>
    <row r="792" spans="3:3" ht="15.75" customHeight="1" x14ac:dyDescent="0.25">
      <c r="C792" s="134"/>
    </row>
    <row r="793" spans="3:3" ht="15.75" customHeight="1" x14ac:dyDescent="0.25">
      <c r="C793" s="134"/>
    </row>
    <row r="794" spans="3:3" ht="15.75" customHeight="1" x14ac:dyDescent="0.25">
      <c r="C794" s="134"/>
    </row>
    <row r="795" spans="3:3" ht="15.75" customHeight="1" x14ac:dyDescent="0.25">
      <c r="C795" s="134"/>
    </row>
    <row r="796" spans="3:3" ht="15.75" customHeight="1" x14ac:dyDescent="0.25">
      <c r="C796" s="134"/>
    </row>
    <row r="797" spans="3:3" ht="15.75" customHeight="1" x14ac:dyDescent="0.25">
      <c r="C797" s="134"/>
    </row>
    <row r="798" spans="3:3" ht="15.75" customHeight="1" x14ac:dyDescent="0.25">
      <c r="C798" s="134"/>
    </row>
    <row r="799" spans="3:3" ht="15.75" customHeight="1" x14ac:dyDescent="0.25">
      <c r="C799" s="134"/>
    </row>
    <row r="800" spans="3:3" ht="15.75" customHeight="1" x14ac:dyDescent="0.25">
      <c r="C800" s="134"/>
    </row>
    <row r="801" spans="3:3" ht="15.75" customHeight="1" x14ac:dyDescent="0.25">
      <c r="C801" s="134"/>
    </row>
    <row r="802" spans="3:3" ht="15.75" customHeight="1" x14ac:dyDescent="0.25">
      <c r="C802" s="134"/>
    </row>
    <row r="803" spans="3:3" ht="15.75" customHeight="1" x14ac:dyDescent="0.25">
      <c r="C803" s="134"/>
    </row>
    <row r="804" spans="3:3" ht="15.75" customHeight="1" x14ac:dyDescent="0.25">
      <c r="C804" s="134"/>
    </row>
    <row r="805" spans="3:3" ht="15.75" customHeight="1" x14ac:dyDescent="0.25">
      <c r="C805" s="134"/>
    </row>
    <row r="806" spans="3:3" ht="15.75" customHeight="1" x14ac:dyDescent="0.25">
      <c r="C806" s="134"/>
    </row>
    <row r="807" spans="3:3" ht="15.75" customHeight="1" x14ac:dyDescent="0.25">
      <c r="C807" s="134"/>
    </row>
    <row r="808" spans="3:3" ht="15.75" customHeight="1" x14ac:dyDescent="0.25">
      <c r="C808" s="134"/>
    </row>
    <row r="809" spans="3:3" ht="15.75" customHeight="1" x14ac:dyDescent="0.25">
      <c r="C809" s="134"/>
    </row>
    <row r="810" spans="3:3" ht="15.75" customHeight="1" x14ac:dyDescent="0.25">
      <c r="C810" s="134"/>
    </row>
    <row r="811" spans="3:3" ht="15.75" customHeight="1" x14ac:dyDescent="0.25">
      <c r="C811" s="134"/>
    </row>
    <row r="812" spans="3:3" ht="15.75" customHeight="1" x14ac:dyDescent="0.25">
      <c r="C812" s="134"/>
    </row>
    <row r="813" spans="3:3" ht="15.75" customHeight="1" x14ac:dyDescent="0.25">
      <c r="C813" s="134"/>
    </row>
    <row r="814" spans="3:3" ht="15.75" customHeight="1" x14ac:dyDescent="0.25">
      <c r="C814" s="134"/>
    </row>
    <row r="815" spans="3:3" ht="15.75" customHeight="1" x14ac:dyDescent="0.25">
      <c r="C815" s="134"/>
    </row>
    <row r="816" spans="3:3" ht="15.75" customHeight="1" x14ac:dyDescent="0.25">
      <c r="C816" s="134"/>
    </row>
    <row r="817" spans="3:3" ht="15.75" customHeight="1" x14ac:dyDescent="0.25">
      <c r="C817" s="134"/>
    </row>
    <row r="818" spans="3:3" ht="15.75" customHeight="1" x14ac:dyDescent="0.25">
      <c r="C818" s="134"/>
    </row>
    <row r="819" spans="3:3" ht="15.75" customHeight="1" x14ac:dyDescent="0.25">
      <c r="C819" s="134"/>
    </row>
    <row r="820" spans="3:3" ht="15.75" customHeight="1" x14ac:dyDescent="0.25">
      <c r="C820" s="134"/>
    </row>
    <row r="821" spans="3:3" ht="15.75" customHeight="1" x14ac:dyDescent="0.25">
      <c r="C821" s="134"/>
    </row>
    <row r="822" spans="3:3" ht="15.75" customHeight="1" x14ac:dyDescent="0.25">
      <c r="C822" s="134"/>
    </row>
    <row r="823" spans="3:3" ht="15.75" customHeight="1" x14ac:dyDescent="0.25">
      <c r="C823" s="134"/>
    </row>
    <row r="824" spans="3:3" ht="15.75" customHeight="1" x14ac:dyDescent="0.25">
      <c r="C824" s="134"/>
    </row>
    <row r="825" spans="3:3" ht="15.75" customHeight="1" x14ac:dyDescent="0.25">
      <c r="C825" s="134"/>
    </row>
    <row r="826" spans="3:3" ht="15.75" customHeight="1" x14ac:dyDescent="0.25">
      <c r="C826" s="134"/>
    </row>
    <row r="827" spans="3:3" ht="15.75" customHeight="1" x14ac:dyDescent="0.25">
      <c r="C827" s="134"/>
    </row>
    <row r="828" spans="3:3" ht="15.75" customHeight="1" x14ac:dyDescent="0.25">
      <c r="C828" s="134"/>
    </row>
    <row r="829" spans="3:3" ht="15.75" customHeight="1" x14ac:dyDescent="0.25">
      <c r="C829" s="134"/>
    </row>
    <row r="830" spans="3:3" ht="15.75" customHeight="1" x14ac:dyDescent="0.25">
      <c r="C830" s="134"/>
    </row>
    <row r="831" spans="3:3" ht="15.75" customHeight="1" x14ac:dyDescent="0.25">
      <c r="C831" s="134"/>
    </row>
    <row r="832" spans="3:3" ht="15.75" customHeight="1" x14ac:dyDescent="0.25">
      <c r="C832" s="134"/>
    </row>
    <row r="833" spans="3:3" ht="15.75" customHeight="1" x14ac:dyDescent="0.25">
      <c r="C833" s="134"/>
    </row>
    <row r="834" spans="3:3" ht="15.75" customHeight="1" x14ac:dyDescent="0.25">
      <c r="C834" s="134"/>
    </row>
    <row r="835" spans="3:3" ht="15.75" customHeight="1" x14ac:dyDescent="0.25">
      <c r="C835" s="134"/>
    </row>
    <row r="836" spans="3:3" ht="15.75" customHeight="1" x14ac:dyDescent="0.25">
      <c r="C836" s="134"/>
    </row>
    <row r="837" spans="3:3" ht="15.75" customHeight="1" x14ac:dyDescent="0.25">
      <c r="C837" s="134"/>
    </row>
    <row r="838" spans="3:3" ht="15.75" customHeight="1" x14ac:dyDescent="0.25">
      <c r="C838" s="134"/>
    </row>
    <row r="839" spans="3:3" ht="15.75" customHeight="1" x14ac:dyDescent="0.25">
      <c r="C839" s="134"/>
    </row>
    <row r="840" spans="3:3" ht="15.75" customHeight="1" x14ac:dyDescent="0.25">
      <c r="C840" s="134"/>
    </row>
    <row r="841" spans="3:3" ht="15.75" customHeight="1" x14ac:dyDescent="0.25">
      <c r="C841" s="134"/>
    </row>
    <row r="842" spans="3:3" ht="15.75" customHeight="1" x14ac:dyDescent="0.25">
      <c r="C842" s="134"/>
    </row>
    <row r="843" spans="3:3" ht="15.75" customHeight="1" x14ac:dyDescent="0.25">
      <c r="C843" s="134"/>
    </row>
    <row r="844" spans="3:3" ht="15.75" customHeight="1" x14ac:dyDescent="0.25">
      <c r="C844" s="134"/>
    </row>
    <row r="845" spans="3:3" ht="15.75" customHeight="1" x14ac:dyDescent="0.25">
      <c r="C845" s="134"/>
    </row>
    <row r="846" spans="3:3" ht="15.75" customHeight="1" x14ac:dyDescent="0.25">
      <c r="C846" s="134"/>
    </row>
    <row r="847" spans="3:3" ht="15.75" customHeight="1" x14ac:dyDescent="0.25">
      <c r="C847" s="134"/>
    </row>
    <row r="848" spans="3:3" ht="15.75" customHeight="1" x14ac:dyDescent="0.25">
      <c r="C848" s="134"/>
    </row>
    <row r="849" spans="3:3" ht="15.75" customHeight="1" x14ac:dyDescent="0.25">
      <c r="C849" s="134"/>
    </row>
    <row r="850" spans="3:3" ht="15.75" customHeight="1" x14ac:dyDescent="0.25">
      <c r="C850" s="134"/>
    </row>
    <row r="851" spans="3:3" ht="15.75" customHeight="1" x14ac:dyDescent="0.25">
      <c r="C851" s="134"/>
    </row>
    <row r="852" spans="3:3" ht="15.75" customHeight="1" x14ac:dyDescent="0.25">
      <c r="C852" s="134"/>
    </row>
    <row r="853" spans="3:3" ht="15.75" customHeight="1" x14ac:dyDescent="0.25">
      <c r="C853" s="134"/>
    </row>
    <row r="854" spans="3:3" ht="15.75" customHeight="1" x14ac:dyDescent="0.25">
      <c r="C854" s="134"/>
    </row>
    <row r="855" spans="3:3" ht="15.75" customHeight="1" x14ac:dyDescent="0.25">
      <c r="C855" s="134"/>
    </row>
    <row r="856" spans="3:3" ht="15.75" customHeight="1" x14ac:dyDescent="0.25">
      <c r="C856" s="134"/>
    </row>
    <row r="857" spans="3:3" ht="15.75" customHeight="1" x14ac:dyDescent="0.25">
      <c r="C857" s="134"/>
    </row>
    <row r="858" spans="3:3" ht="15.75" customHeight="1" x14ac:dyDescent="0.25">
      <c r="C858" s="134"/>
    </row>
    <row r="859" spans="3:3" ht="15.75" customHeight="1" x14ac:dyDescent="0.25">
      <c r="C859" s="134"/>
    </row>
    <row r="860" spans="3:3" ht="15.75" customHeight="1" x14ac:dyDescent="0.25">
      <c r="C860" s="134"/>
    </row>
    <row r="861" spans="3:3" ht="15.75" customHeight="1" x14ac:dyDescent="0.25">
      <c r="C861" s="134"/>
    </row>
    <row r="862" spans="3:3" ht="15.75" customHeight="1" x14ac:dyDescent="0.25">
      <c r="C862" s="134"/>
    </row>
    <row r="863" spans="3:3" ht="15.75" customHeight="1" x14ac:dyDescent="0.25">
      <c r="C863" s="134"/>
    </row>
    <row r="864" spans="3:3" ht="15.75" customHeight="1" x14ac:dyDescent="0.25">
      <c r="C864" s="134"/>
    </row>
    <row r="865" spans="3:3" ht="15.75" customHeight="1" x14ac:dyDescent="0.25">
      <c r="C865" s="134"/>
    </row>
    <row r="866" spans="3:3" ht="15.75" customHeight="1" x14ac:dyDescent="0.25">
      <c r="C866" s="134"/>
    </row>
    <row r="867" spans="3:3" ht="15.75" customHeight="1" x14ac:dyDescent="0.25">
      <c r="C867" s="134"/>
    </row>
    <row r="868" spans="3:3" ht="15.75" customHeight="1" x14ac:dyDescent="0.25">
      <c r="C868" s="134"/>
    </row>
    <row r="869" spans="3:3" ht="15.75" customHeight="1" x14ac:dyDescent="0.25">
      <c r="C869" s="134"/>
    </row>
    <row r="870" spans="3:3" ht="15.75" customHeight="1" x14ac:dyDescent="0.25">
      <c r="C870" s="134"/>
    </row>
    <row r="871" spans="3:3" ht="15.75" customHeight="1" x14ac:dyDescent="0.25">
      <c r="C871" s="134"/>
    </row>
    <row r="872" spans="3:3" ht="15.75" customHeight="1" x14ac:dyDescent="0.25">
      <c r="C872" s="134"/>
    </row>
    <row r="873" spans="3:3" ht="15.75" customHeight="1" x14ac:dyDescent="0.25">
      <c r="C873" s="134"/>
    </row>
    <row r="874" spans="3:3" ht="15.75" customHeight="1" x14ac:dyDescent="0.25">
      <c r="C874" s="134"/>
    </row>
    <row r="875" spans="3:3" ht="15.75" customHeight="1" x14ac:dyDescent="0.25">
      <c r="C875" s="134"/>
    </row>
    <row r="876" spans="3:3" ht="15.75" customHeight="1" x14ac:dyDescent="0.25">
      <c r="C876" s="134"/>
    </row>
    <row r="877" spans="3:3" ht="15.75" customHeight="1" x14ac:dyDescent="0.25">
      <c r="C877" s="134"/>
    </row>
    <row r="878" spans="3:3" ht="15.75" customHeight="1" x14ac:dyDescent="0.25">
      <c r="C878" s="134"/>
    </row>
    <row r="879" spans="3:3" ht="15.75" customHeight="1" x14ac:dyDescent="0.25">
      <c r="C879" s="134"/>
    </row>
    <row r="880" spans="3:3" ht="15.75" customHeight="1" x14ac:dyDescent="0.25">
      <c r="C880" s="134"/>
    </row>
    <row r="881" spans="3:3" ht="15.75" customHeight="1" x14ac:dyDescent="0.25">
      <c r="C881" s="134"/>
    </row>
    <row r="882" spans="3:3" ht="15.75" customHeight="1" x14ac:dyDescent="0.25">
      <c r="C882" s="134"/>
    </row>
    <row r="883" spans="3:3" ht="15.75" customHeight="1" x14ac:dyDescent="0.25">
      <c r="C883" s="134"/>
    </row>
    <row r="884" spans="3:3" ht="15.75" customHeight="1" x14ac:dyDescent="0.25">
      <c r="C884" s="134"/>
    </row>
    <row r="885" spans="3:3" ht="15.75" customHeight="1" x14ac:dyDescent="0.25">
      <c r="C885" s="134"/>
    </row>
    <row r="886" spans="3:3" ht="15.75" customHeight="1" x14ac:dyDescent="0.25">
      <c r="C886" s="134"/>
    </row>
    <row r="887" spans="3:3" ht="15.75" customHeight="1" x14ac:dyDescent="0.25">
      <c r="C887" s="134"/>
    </row>
    <row r="888" spans="3:3" ht="15.75" customHeight="1" x14ac:dyDescent="0.25">
      <c r="C888" s="134"/>
    </row>
    <row r="889" spans="3:3" ht="15.75" customHeight="1" x14ac:dyDescent="0.25">
      <c r="C889" s="134"/>
    </row>
    <row r="890" spans="3:3" ht="15.75" customHeight="1" x14ac:dyDescent="0.25">
      <c r="C890" s="134"/>
    </row>
    <row r="891" spans="3:3" ht="15.75" customHeight="1" x14ac:dyDescent="0.25">
      <c r="C891" s="134"/>
    </row>
    <row r="892" spans="3:3" ht="15.75" customHeight="1" x14ac:dyDescent="0.25">
      <c r="C892" s="134"/>
    </row>
    <row r="893" spans="3:3" ht="15.75" customHeight="1" x14ac:dyDescent="0.25">
      <c r="C893" s="134"/>
    </row>
    <row r="894" spans="3:3" ht="15.75" customHeight="1" x14ac:dyDescent="0.25">
      <c r="C894" s="134"/>
    </row>
    <row r="895" spans="3:3" ht="15.75" customHeight="1" x14ac:dyDescent="0.25">
      <c r="C895" s="134"/>
    </row>
    <row r="896" spans="3:3" ht="15.75" customHeight="1" x14ac:dyDescent="0.25">
      <c r="C896" s="134"/>
    </row>
    <row r="897" spans="3:3" ht="15.75" customHeight="1" x14ac:dyDescent="0.25">
      <c r="C897" s="134"/>
    </row>
    <row r="898" spans="3:3" ht="15.75" customHeight="1" x14ac:dyDescent="0.25">
      <c r="C898" s="134"/>
    </row>
    <row r="899" spans="3:3" ht="15.75" customHeight="1" x14ac:dyDescent="0.25">
      <c r="C899" s="134"/>
    </row>
    <row r="900" spans="3:3" ht="15.75" customHeight="1" x14ac:dyDescent="0.25">
      <c r="C900" s="134"/>
    </row>
    <row r="901" spans="3:3" ht="15.75" customHeight="1" x14ac:dyDescent="0.25">
      <c r="C901" s="134"/>
    </row>
    <row r="902" spans="3:3" ht="15.75" customHeight="1" x14ac:dyDescent="0.25">
      <c r="C902" s="134"/>
    </row>
    <row r="903" spans="3:3" ht="15.75" customHeight="1" x14ac:dyDescent="0.25">
      <c r="C903" s="134"/>
    </row>
    <row r="904" spans="3:3" ht="15.75" customHeight="1" x14ac:dyDescent="0.25">
      <c r="C904" s="134"/>
    </row>
    <row r="905" spans="3:3" ht="15.75" customHeight="1" x14ac:dyDescent="0.25">
      <c r="C905" s="134"/>
    </row>
    <row r="906" spans="3:3" ht="15.75" customHeight="1" x14ac:dyDescent="0.25">
      <c r="C906" s="134"/>
    </row>
    <row r="907" spans="3:3" ht="15.75" customHeight="1" x14ac:dyDescent="0.25">
      <c r="C907" s="134"/>
    </row>
    <row r="908" spans="3:3" ht="15.75" customHeight="1" x14ac:dyDescent="0.25">
      <c r="C908" s="134"/>
    </row>
    <row r="909" spans="3:3" ht="15.75" customHeight="1" x14ac:dyDescent="0.25">
      <c r="C909" s="134"/>
    </row>
    <row r="910" spans="3:3" ht="15.75" customHeight="1" x14ac:dyDescent="0.25">
      <c r="C910" s="134"/>
    </row>
    <row r="911" spans="3:3" ht="15.75" customHeight="1" x14ac:dyDescent="0.25">
      <c r="C911" s="134"/>
    </row>
    <row r="912" spans="3:3" ht="15.75" customHeight="1" x14ac:dyDescent="0.25">
      <c r="C912" s="134"/>
    </row>
    <row r="913" spans="3:3" ht="15.75" customHeight="1" x14ac:dyDescent="0.25">
      <c r="C913" s="134"/>
    </row>
    <row r="914" spans="3:3" ht="15.75" customHeight="1" x14ac:dyDescent="0.25">
      <c r="C914" s="134"/>
    </row>
    <row r="915" spans="3:3" ht="15.75" customHeight="1" x14ac:dyDescent="0.25">
      <c r="C915" s="134"/>
    </row>
    <row r="916" spans="3:3" ht="15.75" customHeight="1" x14ac:dyDescent="0.25">
      <c r="C916" s="134"/>
    </row>
    <row r="917" spans="3:3" ht="15.75" customHeight="1" x14ac:dyDescent="0.25">
      <c r="C917" s="134"/>
    </row>
    <row r="918" spans="3:3" ht="15.75" customHeight="1" x14ac:dyDescent="0.25">
      <c r="C918" s="134"/>
    </row>
    <row r="919" spans="3:3" ht="15.75" customHeight="1" x14ac:dyDescent="0.25">
      <c r="C919" s="134"/>
    </row>
    <row r="920" spans="3:3" ht="15.75" customHeight="1" x14ac:dyDescent="0.25">
      <c r="C920" s="134"/>
    </row>
    <row r="921" spans="3:3" ht="15.75" customHeight="1" x14ac:dyDescent="0.25">
      <c r="C921" s="134"/>
    </row>
    <row r="922" spans="3:3" ht="15.75" customHeight="1" x14ac:dyDescent="0.25">
      <c r="C922" s="134"/>
    </row>
    <row r="923" spans="3:3" ht="15.75" customHeight="1" x14ac:dyDescent="0.25">
      <c r="C923" s="134"/>
    </row>
    <row r="924" spans="3:3" ht="15.75" customHeight="1" x14ac:dyDescent="0.25">
      <c r="C924" s="134"/>
    </row>
    <row r="925" spans="3:3" ht="15.75" customHeight="1" x14ac:dyDescent="0.25">
      <c r="C925" s="134"/>
    </row>
    <row r="926" spans="3:3" ht="15.75" customHeight="1" x14ac:dyDescent="0.25">
      <c r="C926" s="134"/>
    </row>
    <row r="927" spans="3:3" ht="15.75" customHeight="1" x14ac:dyDescent="0.25">
      <c r="C927" s="134"/>
    </row>
    <row r="928" spans="3:3" ht="15.75" customHeight="1" x14ac:dyDescent="0.25">
      <c r="C928" s="134"/>
    </row>
    <row r="929" spans="3:3" ht="15.75" customHeight="1" x14ac:dyDescent="0.25">
      <c r="C929" s="134"/>
    </row>
    <row r="930" spans="3:3" ht="15.75" customHeight="1" x14ac:dyDescent="0.25">
      <c r="C930" s="134"/>
    </row>
    <row r="931" spans="3:3" ht="15.75" customHeight="1" x14ac:dyDescent="0.25">
      <c r="C931" s="134"/>
    </row>
    <row r="932" spans="3:3" ht="15.75" customHeight="1" x14ac:dyDescent="0.25">
      <c r="C932" s="134"/>
    </row>
    <row r="933" spans="3:3" ht="15.75" customHeight="1" x14ac:dyDescent="0.25">
      <c r="C933" s="134"/>
    </row>
    <row r="934" spans="3:3" ht="15.75" customHeight="1" x14ac:dyDescent="0.25">
      <c r="C934" s="134"/>
    </row>
    <row r="935" spans="3:3" ht="15.75" customHeight="1" x14ac:dyDescent="0.25">
      <c r="C935" s="134"/>
    </row>
    <row r="936" spans="3:3" ht="15.75" customHeight="1" x14ac:dyDescent="0.25">
      <c r="C936" s="134"/>
    </row>
    <row r="937" spans="3:3" ht="15.75" customHeight="1" x14ac:dyDescent="0.25">
      <c r="C937" s="134"/>
    </row>
    <row r="938" spans="3:3" ht="15.75" customHeight="1" x14ac:dyDescent="0.25">
      <c r="C938" s="134"/>
    </row>
    <row r="939" spans="3:3" ht="15.75" customHeight="1" x14ac:dyDescent="0.25">
      <c r="C939" s="134"/>
    </row>
    <row r="940" spans="3:3" ht="15.75" customHeight="1" x14ac:dyDescent="0.25">
      <c r="C940" s="134"/>
    </row>
    <row r="941" spans="3:3" ht="15.75" customHeight="1" x14ac:dyDescent="0.25">
      <c r="C941" s="134"/>
    </row>
    <row r="942" spans="3:3" ht="15.75" customHeight="1" x14ac:dyDescent="0.25">
      <c r="C942" s="134"/>
    </row>
    <row r="943" spans="3:3" ht="15.75" customHeight="1" x14ac:dyDescent="0.25">
      <c r="C943" s="134"/>
    </row>
    <row r="944" spans="3:3" ht="15.75" customHeight="1" x14ac:dyDescent="0.25">
      <c r="C944" s="134"/>
    </row>
    <row r="945" spans="3:3" ht="15.75" customHeight="1" x14ac:dyDescent="0.25">
      <c r="C945" s="134"/>
    </row>
    <row r="946" spans="3:3" ht="15.75" customHeight="1" x14ac:dyDescent="0.25">
      <c r="C946" s="134"/>
    </row>
    <row r="947" spans="3:3" ht="15.75" customHeight="1" x14ac:dyDescent="0.25">
      <c r="C947" s="134"/>
    </row>
    <row r="948" spans="3:3" ht="15.75" customHeight="1" x14ac:dyDescent="0.25">
      <c r="C948" s="134"/>
    </row>
    <row r="949" spans="3:3" ht="15.75" customHeight="1" x14ac:dyDescent="0.25">
      <c r="C949" s="134"/>
    </row>
    <row r="950" spans="3:3" ht="15.75" customHeight="1" x14ac:dyDescent="0.25">
      <c r="C950" s="134"/>
    </row>
    <row r="951" spans="3:3" ht="15.75" customHeight="1" x14ac:dyDescent="0.25">
      <c r="C951" s="134"/>
    </row>
    <row r="952" spans="3:3" ht="15.75" customHeight="1" x14ac:dyDescent="0.25">
      <c r="C952" s="134"/>
    </row>
    <row r="953" spans="3:3" ht="15.75" customHeight="1" x14ac:dyDescent="0.25">
      <c r="C953" s="134"/>
    </row>
    <row r="954" spans="3:3" ht="15.75" customHeight="1" x14ac:dyDescent="0.25">
      <c r="C954" s="134"/>
    </row>
    <row r="955" spans="3:3" ht="15.75" customHeight="1" x14ac:dyDescent="0.25">
      <c r="C955" s="134"/>
    </row>
    <row r="956" spans="3:3" ht="15.75" customHeight="1" x14ac:dyDescent="0.25">
      <c r="C956" s="134"/>
    </row>
    <row r="957" spans="3:3" ht="15.75" customHeight="1" x14ac:dyDescent="0.25">
      <c r="C957" s="134"/>
    </row>
    <row r="958" spans="3:3" ht="15.75" customHeight="1" x14ac:dyDescent="0.25">
      <c r="C958" s="134"/>
    </row>
    <row r="959" spans="3:3" ht="15.75" customHeight="1" x14ac:dyDescent="0.25">
      <c r="C959" s="134"/>
    </row>
    <row r="960" spans="3:3" ht="15.75" customHeight="1" x14ac:dyDescent="0.25">
      <c r="C960" s="134"/>
    </row>
    <row r="961" spans="3:3" ht="15.75" customHeight="1" x14ac:dyDescent="0.25">
      <c r="C961" s="134"/>
    </row>
    <row r="962" spans="3:3" ht="15.75" customHeight="1" x14ac:dyDescent="0.25">
      <c r="C962" s="134"/>
    </row>
    <row r="963" spans="3:3" ht="15.75" customHeight="1" x14ac:dyDescent="0.25">
      <c r="C963" s="134"/>
    </row>
    <row r="964" spans="3:3" ht="15.75" customHeight="1" x14ac:dyDescent="0.25">
      <c r="C964" s="134"/>
    </row>
    <row r="965" spans="3:3" ht="15.75" customHeight="1" x14ac:dyDescent="0.25">
      <c r="C965" s="134"/>
    </row>
    <row r="966" spans="3:3" ht="15.75" customHeight="1" x14ac:dyDescent="0.25">
      <c r="C966" s="134"/>
    </row>
    <row r="967" spans="3:3" ht="15.75" customHeight="1" x14ac:dyDescent="0.25">
      <c r="C967" s="134"/>
    </row>
    <row r="968" spans="3:3" ht="15.75" customHeight="1" x14ac:dyDescent="0.25">
      <c r="C968" s="134"/>
    </row>
    <row r="969" spans="3:3" ht="15.75" customHeight="1" x14ac:dyDescent="0.25">
      <c r="C969" s="134"/>
    </row>
    <row r="970" spans="3:3" ht="15.75" customHeight="1" x14ac:dyDescent="0.25">
      <c r="C970" s="134"/>
    </row>
    <row r="971" spans="3:3" ht="15.75" customHeight="1" x14ac:dyDescent="0.25">
      <c r="C971" s="134"/>
    </row>
    <row r="972" spans="3:3" ht="15.75" customHeight="1" x14ac:dyDescent="0.25">
      <c r="C972" s="134"/>
    </row>
    <row r="973" spans="3:3" ht="15.75" customHeight="1" x14ac:dyDescent="0.25">
      <c r="C973" s="134"/>
    </row>
    <row r="974" spans="3:3" ht="15.75" customHeight="1" x14ac:dyDescent="0.25">
      <c r="C974" s="134"/>
    </row>
    <row r="975" spans="3:3" ht="15.75" customHeight="1" x14ac:dyDescent="0.25">
      <c r="C975" s="134"/>
    </row>
    <row r="976" spans="3:3" ht="15.75" customHeight="1" x14ac:dyDescent="0.25">
      <c r="C976" s="134"/>
    </row>
    <row r="977" spans="3:3" ht="15.75" customHeight="1" x14ac:dyDescent="0.25">
      <c r="C977" s="134"/>
    </row>
    <row r="978" spans="3:3" ht="15.75" customHeight="1" x14ac:dyDescent="0.25">
      <c r="C978" s="134"/>
    </row>
    <row r="979" spans="3:3" ht="15.75" customHeight="1" x14ac:dyDescent="0.25">
      <c r="C979" s="134"/>
    </row>
    <row r="980" spans="3:3" ht="15.75" customHeight="1" x14ac:dyDescent="0.25">
      <c r="C980" s="134"/>
    </row>
    <row r="981" spans="3:3" ht="15.75" customHeight="1" x14ac:dyDescent="0.25">
      <c r="C981" s="134"/>
    </row>
    <row r="982" spans="3:3" ht="15.75" customHeight="1" x14ac:dyDescent="0.25">
      <c r="C982" s="134"/>
    </row>
    <row r="983" spans="3:3" ht="15.75" customHeight="1" x14ac:dyDescent="0.25">
      <c r="C983" s="134"/>
    </row>
    <row r="984" spans="3:3" ht="15.75" customHeight="1" x14ac:dyDescent="0.25">
      <c r="C984" s="134"/>
    </row>
    <row r="985" spans="3:3" ht="15.75" customHeight="1" x14ac:dyDescent="0.25">
      <c r="C985" s="134"/>
    </row>
    <row r="986" spans="3:3" ht="15.75" customHeight="1" x14ac:dyDescent="0.25">
      <c r="C986" s="134"/>
    </row>
    <row r="987" spans="3:3" ht="15.75" customHeight="1" x14ac:dyDescent="0.25">
      <c r="C987" s="134"/>
    </row>
    <row r="988" spans="3:3" ht="15.75" customHeight="1" x14ac:dyDescent="0.25">
      <c r="C988" s="134"/>
    </row>
    <row r="989" spans="3:3" ht="15.75" customHeight="1" x14ac:dyDescent="0.25">
      <c r="C989" s="134"/>
    </row>
    <row r="990" spans="3:3" ht="15.75" customHeight="1" x14ac:dyDescent="0.25">
      <c r="C990" s="134"/>
    </row>
    <row r="991" spans="3:3" ht="15.75" customHeight="1" x14ac:dyDescent="0.25">
      <c r="C991" s="134"/>
    </row>
    <row r="992" spans="3:3" ht="15.75" customHeight="1" x14ac:dyDescent="0.25">
      <c r="C992" s="134"/>
    </row>
    <row r="993" spans="3:3" ht="15.75" customHeight="1" x14ac:dyDescent="0.25">
      <c r="C993" s="134"/>
    </row>
    <row r="994" spans="3:3" ht="15.75" customHeight="1" x14ac:dyDescent="0.25">
      <c r="C994" s="134"/>
    </row>
    <row r="995" spans="3:3" ht="15.75" customHeight="1" x14ac:dyDescent="0.25">
      <c r="C995" s="134"/>
    </row>
    <row r="996" spans="3:3" ht="15.75" customHeight="1" x14ac:dyDescent="0.25">
      <c r="C996" s="134"/>
    </row>
    <row r="997" spans="3:3" ht="15.75" customHeight="1" x14ac:dyDescent="0.25">
      <c r="C997" s="134"/>
    </row>
    <row r="998" spans="3:3" ht="15.75" customHeight="1" x14ac:dyDescent="0.25">
      <c r="C998" s="134"/>
    </row>
    <row r="999" spans="3:3" ht="15.75" customHeight="1" x14ac:dyDescent="0.25">
      <c r="C999" s="134"/>
    </row>
    <row r="1000" spans="3:3" ht="15.75" customHeight="1" x14ac:dyDescent="0.25">
      <c r="C1000" s="134"/>
    </row>
  </sheetData>
  <mergeCells count="2">
    <mergeCell ref="B2:C2"/>
    <mergeCell ref="E2:F2"/>
  </mergeCells>
  <conditionalFormatting sqref="C11 F11">
    <cfRule type="cellIs" dxfId="1" priority="1" operator="greaterThan">
      <formula>0</formula>
    </cfRule>
  </conditionalFormatting>
  <conditionalFormatting sqref="C11 F11">
    <cfRule type="cellIs" dxfId="0" priority="2" operator="lessThan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SIKLUS MENU</vt:lpstr>
      <vt:lpstr>NILAI GIZI</vt:lpstr>
      <vt:lpstr>SENIN</vt:lpstr>
      <vt:lpstr>SELASA</vt:lpstr>
      <vt:lpstr>RABU</vt:lpstr>
      <vt:lpstr>KAMIS</vt:lpstr>
      <vt:lpstr>JUMAT</vt:lpstr>
      <vt:lpstr>SABTU</vt:lpstr>
      <vt:lpstr>BUDGETING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</dc:creator>
  <cp:lastModifiedBy>asus</cp:lastModifiedBy>
  <dcterms:created xsi:type="dcterms:W3CDTF">2026-04-03T15:27:07Z</dcterms:created>
  <dcterms:modified xsi:type="dcterms:W3CDTF">2026-07-19T12:05:28Z</dcterms:modified>
</cp:coreProperties>
</file>